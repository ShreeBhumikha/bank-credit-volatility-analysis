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25a7d41bf05d82/文档/"/>
    </mc:Choice>
  </mc:AlternateContent>
  <xr:revisionPtr revIDLastSave="44" documentId="13_ncr:1_{3F599A7A-6864-44E2-B4B2-8892B35BEA49}" xr6:coauthVersionLast="47" xr6:coauthVersionMax="47" xr10:uidLastSave="{0FC64705-4652-43FD-9BBD-EFCA6387DC6B}"/>
  <bookViews>
    <workbookView xWindow="-108" yWindow="-108" windowWidth="23256" windowHeight="12456" activeTab="1" xr2:uid="{5524B2B1-7F4C-4FA4-B6E6-51BFFE5D6F98}"/>
  </bookViews>
  <sheets>
    <sheet name="Sheet1" sheetId="1" r:id="rId1"/>
    <sheet name="Sheet2" sheetId="2" r:id="rId2"/>
  </sheets>
  <definedNames>
    <definedName name="AVERAGE">Sheet2!A1:K86</definedName>
    <definedName name="Data">Sheet2!A1:K86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S7" i="2"/>
  <c r="S6" i="2"/>
  <c r="H7" i="2"/>
  <c r="I7" i="2"/>
  <c r="R7" i="2"/>
  <c r="R6" i="2"/>
  <c r="H6" i="2"/>
  <c r="O8" i="2"/>
  <c r="O7" i="2"/>
  <c r="O6" i="2"/>
  <c r="L9" i="2"/>
  <c r="L8" i="2"/>
  <c r="L7" i="2"/>
  <c r="B8" i="2"/>
  <c r="I8" i="2"/>
  <c r="H8" i="2"/>
  <c r="E8" i="2"/>
  <c r="E6" i="2"/>
  <c r="B12" i="2"/>
  <c r="B9" i="2"/>
  <c r="B5" i="2"/>
  <c r="L6" i="2"/>
  <c r="E7" i="2"/>
  <c r="B11" i="2"/>
  <c r="B10" i="2"/>
  <c r="B7" i="2"/>
  <c r="B6" i="2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27" i="1"/>
  <c r="O10" i="1"/>
  <c r="O11" i="1"/>
  <c r="O12" i="1"/>
  <c r="O13" i="1"/>
  <c r="O14" i="1"/>
  <c r="O15" i="1"/>
  <c r="O16" i="1"/>
  <c r="O17" i="1"/>
  <c r="O18" i="1"/>
  <c r="O19" i="1"/>
  <c r="O20" i="1"/>
  <c r="O21" i="1"/>
  <c r="D15" i="1"/>
  <c r="D14" i="1"/>
  <c r="D13" i="1"/>
  <c r="D12" i="1"/>
  <c r="D11" i="1"/>
  <c r="D10" i="1"/>
  <c r="O9" i="1"/>
  <c r="E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16" i="1"/>
</calcChain>
</file>

<file path=xl/sharedStrings.xml><?xml version="1.0" encoding="utf-8"?>
<sst xmlns="http://schemas.openxmlformats.org/spreadsheetml/2006/main" count="59" uniqueCount="55">
  <si>
    <t>date</t>
  </si>
  <si>
    <t>bank_credit_growth_YoY</t>
  </si>
  <si>
    <t>UPI_volume_core</t>
  </si>
  <si>
    <t>CRR</t>
  </si>
  <si>
    <t>covid_dummy(self)</t>
  </si>
  <si>
    <t>volatality_12m(S.D)</t>
  </si>
  <si>
    <t>repo_rate(%)</t>
  </si>
  <si>
    <t>personal_loans_growth_YoY(%)</t>
  </si>
  <si>
    <t>current</t>
  </si>
  <si>
    <t>previous</t>
  </si>
  <si>
    <t>bank_credit (cr)</t>
  </si>
  <si>
    <t>personal_loans_(cr)</t>
  </si>
  <si>
    <t>ROUGH</t>
  </si>
  <si>
    <t>%</t>
  </si>
  <si>
    <t>DLG_policy dummy(self)</t>
  </si>
  <si>
    <t>AVERAGE</t>
  </si>
  <si>
    <t>STANDARD-DEVIATION</t>
  </si>
  <si>
    <t>Max_credit_growth</t>
  </si>
  <si>
    <t>MIN_CREDIT_GROWTH</t>
  </si>
  <si>
    <t>AVERAGE_VOLATALITY</t>
  </si>
  <si>
    <t>AVERAGE_UPI_VOLUME</t>
  </si>
  <si>
    <t>AVERAGE_REPO_RATE</t>
  </si>
  <si>
    <t>PRE-DLG(BEFORE JUNE 2023)</t>
  </si>
  <si>
    <t>POST-DLG(FROM JUNE 2023)</t>
  </si>
  <si>
    <t>VOLATALITY-</t>
  </si>
  <si>
    <t>AVERAGE-</t>
  </si>
  <si>
    <t>PRE_COVID(FEB 2020)</t>
  </si>
  <si>
    <t>DRAWDOWN</t>
  </si>
  <si>
    <t>Lowest during COVID(May 2020)</t>
  </si>
  <si>
    <t>DATA ANALYSIS SUMMARY - INDIA BANK CREDIT(2019-2026)</t>
  </si>
  <si>
    <t>Analysis Period: April 2020 to january 2026</t>
  </si>
  <si>
    <t>SUMMARY_STATISTICS</t>
  </si>
  <si>
    <t>AVERAGE_CRR(full-period)</t>
  </si>
  <si>
    <t>UPI data from November 2019; YoY growth from April 2020</t>
  </si>
  <si>
    <t>PRE vs POST DLG Policy Comparison(rows 17-28)</t>
  </si>
  <si>
    <t>AVERAGE UPI VOLUME</t>
  </si>
  <si>
    <t>CHANGE</t>
  </si>
  <si>
    <t>COVID-19 RESILIENCE ANALYSIS</t>
  </si>
  <si>
    <t>RECOVERY TO 9%+ GROWTH</t>
  </si>
  <si>
    <t>RECOVERY TIME</t>
  </si>
  <si>
    <t>CORRELATION ANALYSIS</t>
  </si>
  <si>
    <t>CORRELATION PAIRS</t>
  </si>
  <si>
    <t>CORRELATION VALUES</t>
  </si>
  <si>
    <t>UPI volumes vs Bank Credit Growth</t>
  </si>
  <si>
    <t>Repo Rate vs Bank Credit growth</t>
  </si>
  <si>
    <t>2 MONTHS[September 2020 to November 2020]</t>
  </si>
  <si>
    <t>UPI volumes vs personel loans growth</t>
  </si>
  <si>
    <t>PRE VS POST COMPARISON</t>
  </si>
  <si>
    <t>PRE PERIOD(2019-2020)</t>
  </si>
  <si>
    <t>POST PERIOD(2021-2026)</t>
  </si>
  <si>
    <t>VOLATALITY</t>
  </si>
  <si>
    <t>pre-DLG</t>
  </si>
  <si>
    <t>Post DLG</t>
  </si>
  <si>
    <t>average</t>
  </si>
  <si>
    <t>volatality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</si>
</sst>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Palatino Linotype"/>
      <family val="1"/>
    </font>
    <font>
      <b/>
      <sz val="16"/>
      <color theme="0"/>
      <name val="Palatino Linotyp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" fillId="0" borderId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 applyNumberFormat="0" applyFill="0" applyBorder="0" applyProtection="0"/>
    <xf numFmtId="9" fontId="17" fillId="0" borderId="0" applyFont="0" applyFill="0" applyBorder="0" applyAlignment="0" applyProtection="0"/>
    <xf numFmtId="0" fontId="19" fillId="0" borderId="0"/>
    <xf numFmtId="0" fontId="19" fillId="0" borderId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</cellStyleXfs>
  <cellXfs count="25">
    <xf numFmtId="0" fontId="0" fillId="0" borderId="0" xfId="0"/>
    <xf numFmtId="0" fontId="1" fillId="31" borderId="0" xfId="34"/>
    <xf numFmtId="0" fontId="1" fillId="11" borderId="0" xfId="19"/>
    <xf numFmtId="0" fontId="1" fillId="15" borderId="0" xfId="22"/>
    <xf numFmtId="14" fontId="0" fillId="0" borderId="0" xfId="0" applyNumberFormat="1"/>
    <xf numFmtId="0" fontId="1" fillId="12" borderId="0" xfId="52"/>
    <xf numFmtId="0" fontId="1" fillId="20" borderId="10" xfId="53" applyBorder="1"/>
    <xf numFmtId="0" fontId="1" fillId="18" borderId="10" xfId="24" applyBorder="1"/>
    <xf numFmtId="0" fontId="0" fillId="0" borderId="0" xfId="0" applyAlignment="1">
      <alignment wrapText="1"/>
    </xf>
    <xf numFmtId="0" fontId="0" fillId="0" borderId="10" xfId="0" applyBorder="1"/>
    <xf numFmtId="0" fontId="20" fillId="20" borderId="10" xfId="53" applyFont="1" applyBorder="1"/>
    <xf numFmtId="0" fontId="20" fillId="20" borderId="0" xfId="53" applyFont="1"/>
    <xf numFmtId="0" fontId="21" fillId="17" borderId="10" xfId="23" applyFont="1" applyBorder="1"/>
    <xf numFmtId="0" fontId="21" fillId="17" borderId="0" xfId="23" applyFont="1"/>
    <xf numFmtId="0" fontId="1" fillId="10" borderId="10" xfId="18" applyBorder="1"/>
    <xf numFmtId="0" fontId="1" fillId="10" borderId="0" xfId="18"/>
    <xf numFmtId="0" fontId="1" fillId="18" borderId="0" xfId="24"/>
    <xf numFmtId="0" fontId="1" fillId="18" borderId="10" xfId="24" applyBorder="1" applyAlignment="1">
      <alignment wrapText="1"/>
    </xf>
    <xf numFmtId="0" fontId="12" fillId="7" borderId="10" xfId="12" applyBorder="1" applyAlignment="1">
      <alignment horizontal="center"/>
    </xf>
    <xf numFmtId="0" fontId="1" fillId="10" borderId="10" xfId="18" applyBorder="1" applyAlignment="1">
      <alignment horizontal="center"/>
    </xf>
    <xf numFmtId="0" fontId="1" fillId="23" borderId="0" xfId="28" applyAlignment="1">
      <alignment horizontal="center" wrapText="1"/>
    </xf>
    <xf numFmtId="0" fontId="1" fillId="18" borderId="10" xfId="24" applyBorder="1" applyAlignment="1">
      <alignment horizontal="center"/>
    </xf>
    <xf numFmtId="0" fontId="21" fillId="17" borderId="10" xfId="23" applyFont="1" applyBorder="1" applyAlignment="1">
      <alignment horizontal="center"/>
    </xf>
    <xf numFmtId="0" fontId="20" fillId="20" borderId="10" xfId="53" applyFont="1" applyBorder="1" applyAlignment="1">
      <alignment horizontal="center"/>
    </xf>
    <xf numFmtId="0" fontId="0" fillId="0" borderId="0" xfId="0"/>
  </cellXfs>
  <cellStyles count="54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" xfId="52" builtinId="32"/>
    <cellStyle name="60% - Accent1 2" xfId="38" xr:uid="{E47E3EDB-3003-4C80-85A7-A3A0AADFE118}"/>
    <cellStyle name="60% - Accent2 2" xfId="39" xr:uid="{695701BA-63FE-4979-9104-C9BAAAA5F2D4}"/>
    <cellStyle name="60% - Accent3" xfId="53" builtinId="40"/>
    <cellStyle name="60% - Accent3 2" xfId="40" xr:uid="{61DE029E-3414-495F-B063-D720AB6C747A}"/>
    <cellStyle name="60% - Accent4 2" xfId="41" xr:uid="{4FCF6D9B-3E45-4AC1-9B95-C19DBE6215F8}"/>
    <cellStyle name="60% - Accent5 2" xfId="42" xr:uid="{0826A4C9-030A-42E9-9DFF-28CE8BA569D5}"/>
    <cellStyle name="60% - Accent6 2" xfId="43" xr:uid="{E382F94C-FCDB-459F-A9E1-C91DA55116C9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7" xr:uid="{5EAB53F5-767D-403F-AD64-6C56B00C8D74}"/>
    <cellStyle name="Normal" xfId="0" builtinId="0"/>
    <cellStyle name="Normal 2" xfId="35" xr:uid="{611722AA-B7CE-42E5-A304-17D44623A3AC}"/>
    <cellStyle name="Normal 3" xfId="36" xr:uid="{517E1C3B-3B14-469D-822C-B060F91EDCEC}"/>
    <cellStyle name="Normal 3 2" xfId="44" xr:uid="{3D4FD722-E670-4A4F-8D8B-7A486EE3A780}"/>
    <cellStyle name="Normal 4" xfId="46" xr:uid="{B66E2A3A-2DA7-4203-A099-7148D5FB2CBC}"/>
    <cellStyle name="Normal 5" xfId="47" xr:uid="{2B860882-24B5-4735-8E30-12D6FF798FB8}"/>
    <cellStyle name="Normal 5 2" xfId="51" xr:uid="{B4F4D7C6-6E1E-44D1-A932-BFDABDA0031E}"/>
    <cellStyle name="Normal 6" xfId="48" xr:uid="{C59DB42D-F33A-4574-902D-C87900A74D0C}"/>
    <cellStyle name="Normal 7" xfId="50" xr:uid="{2E024F11-2B97-4297-A6C1-CB84B2BCB325}"/>
    <cellStyle name="Note" xfId="14" builtinId="10" customBuiltin="1"/>
    <cellStyle name="Output" xfId="9" builtinId="21" customBuiltin="1"/>
    <cellStyle name="Percent 2" xfId="45" xr:uid="{DD6EB2CF-1760-4422-8F73-6F18709E6598}"/>
    <cellStyle name="Percent 3" xfId="49" xr:uid="{5538F617-667C-4B19-8702-E94C67D12811}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Bank Credit and UPI Growth in India (2019–2026)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bank_credit (cr)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Sheet1!$A$2:$A$86</c:f>
              <c:numCache>
                <c:formatCode>m/d/yyyy</c:formatCode>
                <c:ptCount val="8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</c:numCache>
            </c:numRef>
          </c:cat>
          <c:val>
            <c:numRef>
              <c:f>Sheet1!$B$2:$B$86</c:f>
              <c:numCache>
                <c:formatCode>General</c:formatCode>
                <c:ptCount val="85"/>
                <c:pt idx="2">
                  <c:v>9632516</c:v>
                </c:pt>
                <c:pt idx="3">
                  <c:v>9724811</c:v>
                </c:pt>
                <c:pt idx="4">
                  <c:v>9801448</c:v>
                </c:pt>
                <c:pt idx="5">
                  <c:v>9870260</c:v>
                </c:pt>
                <c:pt idx="6">
                  <c:v>9943632</c:v>
                </c:pt>
                <c:pt idx="7">
                  <c:v>10018556</c:v>
                </c:pt>
                <c:pt idx="8">
                  <c:v>10079854</c:v>
                </c:pt>
                <c:pt idx="9">
                  <c:v>10127861</c:v>
                </c:pt>
                <c:pt idx="10">
                  <c:v>10190096</c:v>
                </c:pt>
                <c:pt idx="11">
                  <c:v>10264633</c:v>
                </c:pt>
                <c:pt idx="12">
                  <c:v>10341940</c:v>
                </c:pt>
                <c:pt idx="13">
                  <c:v>10428357</c:v>
                </c:pt>
                <c:pt idx="14">
                  <c:v>10512492</c:v>
                </c:pt>
                <c:pt idx="15">
                  <c:v>10569180</c:v>
                </c:pt>
                <c:pt idx="16">
                  <c:v>10629455</c:v>
                </c:pt>
                <c:pt idx="17">
                  <c:v>10681736</c:v>
                </c:pt>
                <c:pt idx="18">
                  <c:v>10739845</c:v>
                </c:pt>
                <c:pt idx="19">
                  <c:v>10793189</c:v>
                </c:pt>
                <c:pt idx="20">
                  <c:v>10803825</c:v>
                </c:pt>
                <c:pt idx="21">
                  <c:v>10909055</c:v>
                </c:pt>
                <c:pt idx="22">
                  <c:v>11119885</c:v>
                </c:pt>
                <c:pt idx="23">
                  <c:v>11150000</c:v>
                </c:pt>
                <c:pt idx="24">
                  <c:v>11179417</c:v>
                </c:pt>
                <c:pt idx="25">
                  <c:v>11248719</c:v>
                </c:pt>
                <c:pt idx="26">
                  <c:v>11476283</c:v>
                </c:pt>
                <c:pt idx="27">
                  <c:v>11574375</c:v>
                </c:pt>
                <c:pt idx="28">
                  <c:v>11714619</c:v>
                </c:pt>
                <c:pt idx="29">
                  <c:v>11815112</c:v>
                </c:pt>
                <c:pt idx="30">
                  <c:v>11884244</c:v>
                </c:pt>
                <c:pt idx="31">
                  <c:v>11865401</c:v>
                </c:pt>
                <c:pt idx="32">
                  <c:v>11969886</c:v>
                </c:pt>
                <c:pt idx="33">
                  <c:v>12251033</c:v>
                </c:pt>
                <c:pt idx="34">
                  <c:v>12433606</c:v>
                </c:pt>
                <c:pt idx="35">
                  <c:v>12609666</c:v>
                </c:pt>
                <c:pt idx="36">
                  <c:v>12747773</c:v>
                </c:pt>
                <c:pt idx="37">
                  <c:v>12867929</c:v>
                </c:pt>
                <c:pt idx="38">
                  <c:v>13110013</c:v>
                </c:pt>
                <c:pt idx="39">
                  <c:v>13173772</c:v>
                </c:pt>
                <c:pt idx="40">
                  <c:v>13405062</c:v>
                </c:pt>
                <c:pt idx="41">
                  <c:v>13681526</c:v>
                </c:pt>
                <c:pt idx="42">
                  <c:v>13978144</c:v>
                </c:pt>
                <c:pt idx="43">
                  <c:v>14112173</c:v>
                </c:pt>
                <c:pt idx="44">
                  <c:v>14246529</c:v>
                </c:pt>
                <c:pt idx="45">
                  <c:v>14464360</c:v>
                </c:pt>
                <c:pt idx="46">
                  <c:v>14720139</c:v>
                </c:pt>
                <c:pt idx="47">
                  <c:v>14999993</c:v>
                </c:pt>
                <c:pt idx="48">
                  <c:v>15114575</c:v>
                </c:pt>
                <c:pt idx="49">
                  <c:v>15309031</c:v>
                </c:pt>
                <c:pt idx="50">
                  <c:v>15545198</c:v>
                </c:pt>
                <c:pt idx="51">
                  <c:v>15701344</c:v>
                </c:pt>
                <c:pt idx="52">
                  <c:v>15749514</c:v>
                </c:pt>
                <c:pt idx="53">
                  <c:v>16206672</c:v>
                </c:pt>
                <c:pt idx="54">
                  <c:v>16663977</c:v>
                </c:pt>
                <c:pt idx="55">
                  <c:v>16773541</c:v>
                </c:pt>
                <c:pt idx="56">
                  <c:v>16983073</c:v>
                </c:pt>
                <c:pt idx="57">
                  <c:v>17297128</c:v>
                </c:pt>
                <c:pt idx="58">
                  <c:v>17479199</c:v>
                </c:pt>
                <c:pt idx="59">
                  <c:v>17797714</c:v>
                </c:pt>
                <c:pt idx="60">
                  <c:v>17898476</c:v>
                </c:pt>
                <c:pt idx="61">
                  <c:v>18093875</c:v>
                </c:pt>
                <c:pt idx="62">
                  <c:v>18312122</c:v>
                </c:pt>
                <c:pt idx="63">
                  <c:v>18345395</c:v>
                </c:pt>
                <c:pt idx="64">
                  <c:v>18669283</c:v>
                </c:pt>
                <c:pt idx="65">
                  <c:v>19097244</c:v>
                </c:pt>
                <c:pt idx="66">
                  <c:v>18706750</c:v>
                </c:pt>
                <c:pt idx="67">
                  <c:v>18875973</c:v>
                </c:pt>
                <c:pt idx="68">
                  <c:v>19066853</c:v>
                </c:pt>
                <c:pt idx="69">
                  <c:v>19188801</c:v>
                </c:pt>
                <c:pt idx="70">
                  <c:v>19479816</c:v>
                </c:pt>
                <c:pt idx="71">
                  <c:v>19689731</c:v>
                </c:pt>
                <c:pt idx="72">
                  <c:v>19886738</c:v>
                </c:pt>
                <c:pt idx="73">
                  <c:v>20020836</c:v>
                </c:pt>
                <c:pt idx="74">
                  <c:v>20289195</c:v>
                </c:pt>
                <c:pt idx="75">
                  <c:v>20261924</c:v>
                </c:pt>
                <c:pt idx="76">
                  <c:v>20366878</c:v>
                </c:pt>
                <c:pt idx="77">
                  <c:v>20432432</c:v>
                </c:pt>
                <c:pt idx="78">
                  <c:v>20528808</c:v>
                </c:pt>
                <c:pt idx="79">
                  <c:v>20584410</c:v>
                </c:pt>
                <c:pt idx="80">
                  <c:v>20719277</c:v>
                </c:pt>
                <c:pt idx="81">
                  <c:v>20989222</c:v>
                </c:pt>
                <c:pt idx="82">
                  <c:v>21478916</c:v>
                </c:pt>
                <c:pt idx="83">
                  <c:v>21628539</c:v>
                </c:pt>
                <c:pt idx="84">
                  <c:v>22382188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0-4906-896E-1A9684E19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863423"/>
        <c:axId val="436863903"/>
      </c:barChart>
      <c:lineChart>
        <c:grouping val="standard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UPI_volume_core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Sheet1!$A$2:$A$86</c:f>
              <c:numCache>
                <c:formatCode>m/d/yyyy</c:formatCode>
                <c:ptCount val="8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</c:numCache>
            </c:numRef>
          </c:cat>
          <c:val>
            <c:numRef>
              <c:f>Sheet1!$F$2:$F$86</c:f>
              <c:numCache>
                <c:formatCode>General</c:formatCode>
                <c:ptCount val="85"/>
                <c:pt idx="10">
                  <c:v>124.68</c:v>
                </c:pt>
                <c:pt idx="11">
                  <c:v>132.56</c:v>
                </c:pt>
                <c:pt idx="12">
                  <c:v>130.5</c:v>
                </c:pt>
                <c:pt idx="13">
                  <c:v>130.84</c:v>
                </c:pt>
                <c:pt idx="14">
                  <c:v>121.88</c:v>
                </c:pt>
                <c:pt idx="15">
                  <c:v>99.96</c:v>
                </c:pt>
                <c:pt idx="16">
                  <c:v>124.45</c:v>
                </c:pt>
                <c:pt idx="17">
                  <c:v>133.69</c:v>
                </c:pt>
                <c:pt idx="18">
                  <c:v>149.74</c:v>
                </c:pt>
                <c:pt idx="19">
                  <c:v>161.88</c:v>
                </c:pt>
                <c:pt idx="20">
                  <c:v>180.02</c:v>
                </c:pt>
                <c:pt idx="21">
                  <c:v>207.16</c:v>
                </c:pt>
                <c:pt idx="22">
                  <c:v>221.02</c:v>
                </c:pt>
                <c:pt idx="23">
                  <c:v>223.42</c:v>
                </c:pt>
                <c:pt idx="24">
                  <c:v>229.29</c:v>
                </c:pt>
                <c:pt idx="25">
                  <c:v>230.27</c:v>
                </c:pt>
                <c:pt idx="26">
                  <c:v>273.17</c:v>
                </c:pt>
                <c:pt idx="27">
                  <c:v>264.11</c:v>
                </c:pt>
                <c:pt idx="28">
                  <c:v>252.92</c:v>
                </c:pt>
                <c:pt idx="29">
                  <c:v>280.75</c:v>
                </c:pt>
                <c:pt idx="30">
                  <c:v>324.55</c:v>
                </c:pt>
                <c:pt idx="31">
                  <c:v>355.55</c:v>
                </c:pt>
                <c:pt idx="32">
                  <c:v>365.58</c:v>
                </c:pt>
                <c:pt idx="33">
                  <c:v>421.84</c:v>
                </c:pt>
                <c:pt idx="34">
                  <c:v>418.65</c:v>
                </c:pt>
                <c:pt idx="35">
                  <c:v>456.63</c:v>
                </c:pt>
                <c:pt idx="36">
                  <c:v>461.72</c:v>
                </c:pt>
                <c:pt idx="37">
                  <c:v>452.75</c:v>
                </c:pt>
                <c:pt idx="38">
                  <c:v>540.57000000000005</c:v>
                </c:pt>
                <c:pt idx="39">
                  <c:v>558.44000000000005</c:v>
                </c:pt>
                <c:pt idx="40">
                  <c:v>594.63</c:v>
                </c:pt>
                <c:pt idx="41">
                  <c:v>586.29</c:v>
                </c:pt>
                <c:pt idx="42">
                  <c:v>628.92999999999995</c:v>
                </c:pt>
                <c:pt idx="43">
                  <c:v>658.19</c:v>
                </c:pt>
                <c:pt idx="44">
                  <c:v>678.08</c:v>
                </c:pt>
                <c:pt idx="45">
                  <c:v>730.54</c:v>
                </c:pt>
                <c:pt idx="46">
                  <c:v>730.94</c:v>
                </c:pt>
                <c:pt idx="47">
                  <c:v>782.89</c:v>
                </c:pt>
                <c:pt idx="48">
                  <c:v>803.86</c:v>
                </c:pt>
                <c:pt idx="49">
                  <c:v>753.48</c:v>
                </c:pt>
                <c:pt idx="50">
                  <c:v>865.16</c:v>
                </c:pt>
                <c:pt idx="51">
                  <c:v>886.33</c:v>
                </c:pt>
                <c:pt idx="52">
                  <c:v>941.52</c:v>
                </c:pt>
                <c:pt idx="53">
                  <c:v>933.51</c:v>
                </c:pt>
                <c:pt idx="54">
                  <c:v>996.43</c:v>
                </c:pt>
                <c:pt idx="55">
                  <c:v>1055.56</c:v>
                </c:pt>
                <c:pt idx="56">
                  <c:v>1058.5999999999999</c:v>
                </c:pt>
                <c:pt idx="57">
                  <c:v>1140.8800000000001</c:v>
                </c:pt>
                <c:pt idx="58">
                  <c:v>1123.53</c:v>
                </c:pt>
                <c:pt idx="59">
                  <c:v>1202.02</c:v>
                </c:pt>
                <c:pt idx="60">
                  <c:v>1220.3</c:v>
                </c:pt>
                <c:pt idx="61">
                  <c:v>1210.27</c:v>
                </c:pt>
                <c:pt idx="62">
                  <c:v>1344</c:v>
                </c:pt>
                <c:pt idx="63">
                  <c:v>1330.4</c:v>
                </c:pt>
                <c:pt idx="64">
                  <c:v>1403.58</c:v>
                </c:pt>
                <c:pt idx="65">
                  <c:v>1388.51</c:v>
                </c:pt>
                <c:pt idx="66">
                  <c:v>1443.55</c:v>
                </c:pt>
                <c:pt idx="67">
                  <c:v>1496.3</c:v>
                </c:pt>
                <c:pt idx="68">
                  <c:v>1504.17</c:v>
                </c:pt>
                <c:pt idx="69">
                  <c:v>1658.5</c:v>
                </c:pt>
                <c:pt idx="70">
                  <c:v>1548.2</c:v>
                </c:pt>
                <c:pt idx="71">
                  <c:v>1673</c:v>
                </c:pt>
                <c:pt idx="72">
                  <c:v>1699.6</c:v>
                </c:pt>
                <c:pt idx="73">
                  <c:v>1610.62</c:v>
                </c:pt>
                <c:pt idx="74">
                  <c:v>1830.15</c:v>
                </c:pt>
                <c:pt idx="75">
                  <c:v>1789.34</c:v>
                </c:pt>
                <c:pt idx="76">
                  <c:v>1867.75</c:v>
                </c:pt>
                <c:pt idx="77">
                  <c:v>1839.5</c:v>
                </c:pt>
                <c:pt idx="78">
                  <c:v>1946.79</c:v>
                </c:pt>
                <c:pt idx="79">
                  <c:v>2000.83</c:v>
                </c:pt>
                <c:pt idx="80">
                  <c:v>1963.34</c:v>
                </c:pt>
                <c:pt idx="81">
                  <c:v>2070.09</c:v>
                </c:pt>
                <c:pt idx="82">
                  <c:v>2046.7</c:v>
                </c:pt>
                <c:pt idx="83">
                  <c:v>2163.4699999999998</c:v>
                </c:pt>
                <c:pt idx="84">
                  <c:v>2170.34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0-4906-896E-1A9684E19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879743"/>
        <c:axId val="436880223"/>
      </c:lineChart>
      <c:dateAx>
        <c:axId val="43686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63903"/>
        <c:crosses val="autoZero"/>
        <c:auto val="1"/>
        <c:lblOffset val="100"/>
        <c:baseTimeUnit val="months"/>
      </c:dateAx>
      <c:valAx>
        <c:axId val="43686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bank_credit(crore)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63423"/>
        <c:crosses val="autoZero"/>
        <c:crossBetween val="between"/>
      </c:valAx>
      <c:valAx>
        <c:axId val="4368802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UPI</a:t>
                </a:r>
                <a:r>
                  <a:rPr lang="en-IN" baseline="0"/>
                  <a:t> Volume(crore)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79743"/>
        <c:crosses val="max"/>
        <c:crossBetween val="between"/>
      </c:valAx>
      <c:dateAx>
        <c:axId val="43687974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3688022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Year-on-Year Growth of Bank Credit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bank_credit_growth_YoY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Sheet1!$A$2:$A$86</c:f>
              <c:numCache>
                <c:formatCode>m/d/yyyy</c:formatCode>
                <c:ptCount val="8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</c:numCache>
            </c:numRef>
          </c:cat>
          <c:val>
            <c:numRef>
              <c:f>Sheet1!$C$2:$C$86</c:f>
              <c:numCache>
                <c:formatCode>General</c:formatCode>
                <c:ptCount val="85"/>
                <c:pt idx="14">
                  <c:v>9.1354740547537006</c:v>
                </c:pt>
                <c:pt idx="15">
                  <c:v>8.6826263255913148</c:v>
                </c:pt>
                <c:pt idx="16">
                  <c:v>8.4478028144412853</c:v>
                </c:pt>
                <c:pt idx="17">
                  <c:v>8.2214247648998207</c:v>
                </c:pt>
                <c:pt idx="18">
                  <c:v>8.0072653533437297</c:v>
                </c:pt>
                <c:pt idx="19">
                  <c:v>7.7319825332113679</c:v>
                </c:pt>
                <c:pt idx="20">
                  <c:v>7.1823560142835419</c:v>
                </c:pt>
                <c:pt idx="21">
                  <c:v>7.7133167605677011</c:v>
                </c:pt>
                <c:pt idx="22">
                  <c:v>9.1244380818394699</c:v>
                </c:pt>
                <c:pt idx="23">
                  <c:v>8.6254131053687075</c:v>
                </c:pt>
                <c:pt idx="24">
                  <c:v>8.0978713858328213</c:v>
                </c:pt>
                <c:pt idx="25">
                  <c:v>7.8666466826941228</c:v>
                </c:pt>
                <c:pt idx="26">
                  <c:v>9.1680545393042934</c:v>
                </c:pt>
                <c:pt idx="27">
                  <c:v>9.5106242868415514</c:v>
                </c:pt>
                <c:pt idx="28">
                  <c:v>10.20902765005356</c:v>
                </c:pt>
                <c:pt idx="29">
                  <c:v>10.610410143070382</c:v>
                </c:pt>
                <c:pt idx="30">
                  <c:v>10.655637953806597</c:v>
                </c:pt>
                <c:pt idx="31">
                  <c:v>9.9341538446144249</c:v>
                </c:pt>
                <c:pt idx="32">
                  <c:v>10.793038576615221</c:v>
                </c:pt>
                <c:pt idx="33">
                  <c:v>12.30150549245559</c:v>
                </c:pt>
                <c:pt idx="34">
                  <c:v>11.814159948596581</c:v>
                </c:pt>
                <c:pt idx="35">
                  <c:v>13.091174887892375</c:v>
                </c:pt>
                <c:pt idx="36">
                  <c:v>14.028960544185809</c:v>
                </c:pt>
                <c:pt idx="37">
                  <c:v>14.394616844815843</c:v>
                </c:pt>
                <c:pt idx="38">
                  <c:v>14.235706805069203</c:v>
                </c:pt>
                <c:pt idx="39">
                  <c:v>13.818430800799186</c:v>
                </c:pt>
                <c:pt idx="40">
                  <c:v>14.430200418810045</c:v>
                </c:pt>
                <c:pt idx="41">
                  <c:v>15.796837135356823</c:v>
                </c:pt>
                <c:pt idx="42">
                  <c:v>17.61912663523233</c:v>
                </c:pt>
                <c:pt idx="43">
                  <c:v>18.935491518575741</c:v>
                </c:pt>
                <c:pt idx="44">
                  <c:v>19.019755075361623</c:v>
                </c:pt>
                <c:pt idx="45">
                  <c:v>18.066452028984003</c:v>
                </c:pt>
                <c:pt idx="46">
                  <c:v>18.389942547640636</c:v>
                </c:pt>
                <c:pt idx="47">
                  <c:v>18.956307010828045</c:v>
                </c:pt>
                <c:pt idx="48">
                  <c:v>18.566395871655384</c:v>
                </c:pt>
                <c:pt idx="49">
                  <c:v>18.970434170098383</c:v>
                </c:pt>
                <c:pt idx="50">
                  <c:v>18.57500065026634</c:v>
                </c:pt>
                <c:pt idx="51">
                  <c:v>19.186395513752629</c:v>
                </c:pt>
                <c:pt idx="52">
                  <c:v>17.489303667524993</c:v>
                </c:pt>
                <c:pt idx="53">
                  <c:v>18.456610761109538</c:v>
                </c:pt>
                <c:pt idx="54">
                  <c:v>19.214518036157013</c:v>
                </c:pt>
                <c:pt idx="55">
                  <c:v>18.858669037007971</c:v>
                </c:pt>
                <c:pt idx="56">
                  <c:v>19.20849632917605</c:v>
                </c:pt>
                <c:pt idx="57">
                  <c:v>19.584468306928194</c:v>
                </c:pt>
                <c:pt idx="58">
                  <c:v>18.74343713738029</c:v>
                </c:pt>
                <c:pt idx="59">
                  <c:v>18.651482037358292</c:v>
                </c:pt>
                <c:pt idx="60">
                  <c:v>18.418652194983977</c:v>
                </c:pt>
                <c:pt idx="61">
                  <c:v>18.190857409590457</c:v>
                </c:pt>
                <c:pt idx="62">
                  <c:v>17.799220054964881</c:v>
                </c:pt>
                <c:pt idx="63">
                  <c:v>16.839647612331788</c:v>
                </c:pt>
                <c:pt idx="64">
                  <c:v>18.53878792704333</c:v>
                </c:pt>
                <c:pt idx="65">
                  <c:v>17.835691374515395</c:v>
                </c:pt>
                <c:pt idx="66">
                  <c:v>12.25861629549776</c:v>
                </c:pt>
                <c:pt idx="67">
                  <c:v>12.534216835908406</c:v>
                </c:pt>
                <c:pt idx="68">
                  <c:v>12.269746470500365</c:v>
                </c:pt>
                <c:pt idx="69">
                  <c:v>10.93634157069312</c:v>
                </c:pt>
                <c:pt idx="70">
                  <c:v>11.445701831073606</c:v>
                </c:pt>
                <c:pt idx="71">
                  <c:v>10.63067425400812</c:v>
                </c:pt>
                <c:pt idx="72">
                  <c:v>11.108554717172559</c:v>
                </c:pt>
                <c:pt idx="73">
                  <c:v>10.649797238015623</c:v>
                </c:pt>
                <c:pt idx="74">
                  <c:v>10.796525929654678</c:v>
                </c:pt>
                <c:pt idx="75">
                  <c:v>10.446921420879729</c:v>
                </c:pt>
                <c:pt idx="76">
                  <c:v>9.0929844493760079</c:v>
                </c:pt>
                <c:pt idx="77">
                  <c:v>6.9915219180317401</c:v>
                </c:pt>
                <c:pt idx="78">
                  <c:v>9.7401098533951735</c:v>
                </c:pt>
                <c:pt idx="79">
                  <c:v>9.0508552857116342</c:v>
                </c:pt>
                <c:pt idx="80">
                  <c:v>8.6664747454653366</c:v>
                </c:pt>
                <c:pt idx="81">
                  <c:v>9.3826654411601762</c:v>
                </c:pt>
                <c:pt idx="82">
                  <c:v>10.262417263078859</c:v>
                </c:pt>
                <c:pt idx="83">
                  <c:v>9.846797805414397</c:v>
                </c:pt>
                <c:pt idx="84">
                  <c:v>12.54831234765601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8-49EE-8EA2-C3690A4B1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51999"/>
        <c:axId val="22150079"/>
      </c:lineChart>
      <c:dateAx>
        <c:axId val="2215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0079"/>
        <c:crosses val="autoZero"/>
        <c:auto val="1"/>
        <c:lblOffset val="100"/>
        <c:baseTimeUnit val="months"/>
      </c:dateAx>
      <c:valAx>
        <c:axId val="221500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baseline="0">
                    <a:effectLst/>
                  </a:rPr>
                  <a:t>bank_credit_growth_YoY</a:t>
                </a:r>
                <a:r>
                  <a:rPr lang="en-IN" sz="900" b="1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Rolling 12-Month Volatility of Bank Credit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Sheet1!$K$1:$K$26</c:f>
              <c:strCache>
                <c:ptCount val="26"/>
                <c:pt idx="0">
                  <c:v>volatality_12m(S.D)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Sheet1!$A$27:$A$86</c:f>
              <c:numCache>
                <c:formatCode>m/d/yyyy</c:formatCode>
                <c:ptCount val="60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</c:numCache>
            </c:numRef>
          </c:cat>
          <c:val>
            <c:numRef>
              <c:f>Sheet1!$K$27:$K$86</c:f>
              <c:numCache>
                <c:formatCode>General</c:formatCode>
                <c:ptCount val="60"/>
                <c:pt idx="0">
                  <c:v>0.59082242250528938</c:v>
                </c:pt>
                <c:pt idx="1">
                  <c:v>0.59538689030156511</c:v>
                </c:pt>
                <c:pt idx="2">
                  <c:v>0.69165598113147697</c:v>
                </c:pt>
                <c:pt idx="3">
                  <c:v>0.88409097377122658</c:v>
                </c:pt>
                <c:pt idx="4">
                  <c:v>1.0750917601525471</c:v>
                </c:pt>
                <c:pt idx="5">
                  <c:v>1.1953738928724487</c:v>
                </c:pt>
                <c:pt idx="6">
                  <c:v>1.1728304311326683</c:v>
                </c:pt>
                <c:pt idx="7">
                  <c:v>1.1092818780442055</c:v>
                </c:pt>
                <c:pt idx="8">
                  <c:v>1.2696048299946912</c:v>
                </c:pt>
                <c:pt idx="9">
                  <c:v>1.3831340917573447</c:v>
                </c:pt>
                <c:pt idx="10">
                  <c:v>1.5769748387764837</c:v>
                </c:pt>
                <c:pt idx="11">
                  <c:v>1.73290420670134</c:v>
                </c:pt>
                <c:pt idx="12">
                  <c:v>1.7420182798886439</c:v>
                </c:pt>
                <c:pt idx="13">
                  <c:v>1.77211351373935</c:v>
                </c:pt>
                <c:pt idx="14">
                  <c:v>1.7014887373323493</c:v>
                </c:pt>
                <c:pt idx="15">
                  <c:v>1.6984405232358482</c:v>
                </c:pt>
                <c:pt idx="16">
                  <c:v>1.8264558259225088</c:v>
                </c:pt>
                <c:pt idx="17">
                  <c:v>2.1173241816115866</c:v>
                </c:pt>
                <c:pt idx="18">
                  <c:v>2.3160321824772292</c:v>
                </c:pt>
                <c:pt idx="19">
                  <c:v>2.408482536875646</c:v>
                </c:pt>
                <c:pt idx="20">
                  <c:v>2.4055668482970445</c:v>
                </c:pt>
                <c:pt idx="21">
                  <c:v>2.2490035043831282</c:v>
                </c:pt>
                <c:pt idx="22">
                  <c:v>2.1995750274317403</c:v>
                </c:pt>
                <c:pt idx="23">
                  <c:v>2.1298900563659964</c:v>
                </c:pt>
                <c:pt idx="24">
                  <c:v>2.0582632572883743</c:v>
                </c:pt>
                <c:pt idx="25">
                  <c:v>1.8547833455287535</c:v>
                </c:pt>
                <c:pt idx="26">
                  <c:v>1.4680640227757469</c:v>
                </c:pt>
                <c:pt idx="27">
                  <c:v>0.96217625460901368</c:v>
                </c:pt>
                <c:pt idx="28">
                  <c:v>0.55312697315942627</c:v>
                </c:pt>
                <c:pt idx="29">
                  <c:v>0.50690290189726195</c:v>
                </c:pt>
                <c:pt idx="30">
                  <c:v>0.50347359693257321</c:v>
                </c:pt>
                <c:pt idx="31">
                  <c:v>0.51892832282935253</c:v>
                </c:pt>
                <c:pt idx="32">
                  <c:v>0.54504186258506371</c:v>
                </c:pt>
                <c:pt idx="33">
                  <c:v>0.5309398130894023</c:v>
                </c:pt>
                <c:pt idx="34">
                  <c:v>0.53098717492281144</c:v>
                </c:pt>
                <c:pt idx="35">
                  <c:v>0.53835805559290784</c:v>
                </c:pt>
                <c:pt idx="36">
                  <c:v>0.5598679372839297</c:v>
                </c:pt>
                <c:pt idx="37">
                  <c:v>0.61913433933688089</c:v>
                </c:pt>
                <c:pt idx="38">
                  <c:v>0.78324187828964542</c:v>
                </c:pt>
                <c:pt idx="39">
                  <c:v>0.72184256849762618</c:v>
                </c:pt>
                <c:pt idx="40">
                  <c:v>0.75022199216988328</c:v>
                </c:pt>
                <c:pt idx="41">
                  <c:v>1.9180692387280747</c:v>
                </c:pt>
                <c:pt idx="42">
                  <c:v>2.4335382472481517</c:v>
                </c:pt>
                <c:pt idx="43">
                  <c:v>2.7626187873512795</c:v>
                </c:pt>
                <c:pt idx="44">
                  <c:v>3.0813639319571111</c:v>
                </c:pt>
                <c:pt idx="45">
                  <c:v>3.2256999817737335</c:v>
                </c:pt>
                <c:pt idx="46">
                  <c:v>3.3370949898241973</c:v>
                </c:pt>
                <c:pt idx="47">
                  <c:v>3.2849078558314542</c:v>
                </c:pt>
                <c:pt idx="48">
                  <c:v>3.1711746550264737</c:v>
                </c:pt>
                <c:pt idx="49">
                  <c:v>2.9595358978013429</c:v>
                </c:pt>
                <c:pt idx="50">
                  <c:v>2.7724493340974021</c:v>
                </c:pt>
                <c:pt idx="51">
                  <c:v>2.1615098335810443</c:v>
                </c:pt>
                <c:pt idx="52">
                  <c:v>1.5196964449552361</c:v>
                </c:pt>
                <c:pt idx="53">
                  <c:v>1.4674487826346883</c:v>
                </c:pt>
                <c:pt idx="54">
                  <c:v>1.382081865636368</c:v>
                </c:pt>
                <c:pt idx="55">
                  <c:v>1.2952287857123783</c:v>
                </c:pt>
                <c:pt idx="56">
                  <c:v>1.2664247775335249</c:v>
                </c:pt>
                <c:pt idx="57">
                  <c:v>1.1720378208973674</c:v>
                </c:pt>
                <c:pt idx="58">
                  <c:v>1.1389546796339807</c:v>
                </c:pt>
                <c:pt idx="59">
                  <c:v>1.3589081650745634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3-4678-ACC8-4ADEEAA10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smooth val="0"/>
        <c:axId val="22161119"/>
        <c:axId val="22149119"/>
      </c:lineChart>
      <c:dateAx>
        <c:axId val="2216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9119"/>
        <c:crosses val="autoZero"/>
        <c:auto val="1"/>
        <c:lblOffset val="100"/>
        <c:baseTimeUnit val="months"/>
      </c:dateAx>
      <c:valAx>
        <c:axId val="221491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VOLATALITY(12-MONTH)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PRE VS POST COVID</a:t>
            </a:r>
            <a:r>
              <a:rPr lang="en-IN" baseline="0"/>
              <a:t> </a:t>
            </a:r>
            <a:r>
              <a:rPr lang="en-IN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Sheet2!$Q$6</c:f>
              <c:strCache>
                <c:ptCount val="1"/>
                <c:pt idx="0">
                  <c:v>PRE PERIOD(2019-2020)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Sheet2!$R$4:$S$5</c:f>
              <c:strCache>
                <c:ptCount val="2"/>
                <c:pt idx="0">
                  <c:v>AVERAGE</c:v>
                </c:pt>
                <c:pt idx="1">
                  <c:v>VOLATALITY</c:v>
                </c:pt>
              </c:strCache>
            </c:strRef>
          </c:cat>
          <c:val>
            <c:numRef>
              <c:f>Sheet2!$R$6:$S$6</c:f>
              <c:numCache>
                <c:formatCode>General</c:formatCode>
                <c:ptCount val="2"/>
                <c:pt idx="0">
                  <c:v>8.287209980830065</c:v>
                </c:pt>
                <c:pt idx="1">
                  <c:v>0.63753503197236006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D-482F-99E2-7EC8E9ABD640}"/>
            </c:ext>
          </c:extLst>
        </c:ser>
        <c:ser>
          <c:idx val="1"/>
          <c:order val="1"/>
          <c:tx>
            <c:strRef>
              <c:f>Sheet2!$Q$7</c:f>
              <c:strCache>
                <c:ptCount val="1"/>
                <c:pt idx="0">
                  <c:v>POST PERIOD(2021-2026)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Sheet2!$R$4:$S$5</c:f>
              <c:strCache>
                <c:ptCount val="2"/>
                <c:pt idx="0">
                  <c:v>AVERAGE</c:v>
                </c:pt>
                <c:pt idx="1">
                  <c:v>VOLATALITY</c:v>
                </c:pt>
              </c:strCache>
            </c:strRef>
          </c:cat>
          <c:val>
            <c:numRef>
              <c:f>Sheet2!$R$7:$S$7</c:f>
              <c:numCache>
                <c:formatCode>General</c:formatCode>
                <c:ptCount val="2"/>
                <c:pt idx="0">
                  <c:v>13.992318631507787</c:v>
                </c:pt>
                <c:pt idx="1">
                  <c:v>4.011230015163525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7D-482F-99E2-7EC8E9ABD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53035695"/>
        <c:axId val="1953037135"/>
      </c:barChart>
      <c:catAx>
        <c:axId val="19530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37135"/>
        <c:crosses val="autoZero"/>
        <c:auto val="1"/>
        <c:lblAlgn val="ctr"/>
        <c:lblOffset val="100"/>
        <c:noMultiLvlLbl val="0"/>
      </c:catAx>
      <c:valAx>
        <c:axId val="19530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3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UPI vs Bank Credit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UPI_volume_core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865234531258529E-2"/>
                  <c:y val="-1.8878132823784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Sheet1!$C$2:$C$86</c:f>
              <c:numCache>
                <c:formatCode>General</c:formatCode>
                <c:ptCount val="85"/>
                <c:pt idx="14">
                  <c:v>9.1354740547537006</c:v>
                </c:pt>
                <c:pt idx="15">
                  <c:v>8.6826263255913148</c:v>
                </c:pt>
                <c:pt idx="16">
                  <c:v>8.4478028144412853</c:v>
                </c:pt>
                <c:pt idx="17">
                  <c:v>8.2214247648998207</c:v>
                </c:pt>
                <c:pt idx="18">
                  <c:v>8.0072653533437297</c:v>
                </c:pt>
                <c:pt idx="19">
                  <c:v>7.7319825332113679</c:v>
                </c:pt>
                <c:pt idx="20">
                  <c:v>7.1823560142835419</c:v>
                </c:pt>
                <c:pt idx="21">
                  <c:v>7.7133167605677011</c:v>
                </c:pt>
                <c:pt idx="22">
                  <c:v>9.1244380818394699</c:v>
                </c:pt>
                <c:pt idx="23">
                  <c:v>8.6254131053687075</c:v>
                </c:pt>
                <c:pt idx="24">
                  <c:v>8.0978713858328213</c:v>
                </c:pt>
                <c:pt idx="25">
                  <c:v>7.8666466826941228</c:v>
                </c:pt>
                <c:pt idx="26">
                  <c:v>9.1680545393042934</c:v>
                </c:pt>
                <c:pt idx="27">
                  <c:v>9.5106242868415514</c:v>
                </c:pt>
                <c:pt idx="28">
                  <c:v>10.20902765005356</c:v>
                </c:pt>
                <c:pt idx="29">
                  <c:v>10.610410143070382</c:v>
                </c:pt>
                <c:pt idx="30">
                  <c:v>10.655637953806597</c:v>
                </c:pt>
                <c:pt idx="31">
                  <c:v>9.9341538446144249</c:v>
                </c:pt>
                <c:pt idx="32">
                  <c:v>10.793038576615221</c:v>
                </c:pt>
                <c:pt idx="33">
                  <c:v>12.30150549245559</c:v>
                </c:pt>
                <c:pt idx="34">
                  <c:v>11.814159948596581</c:v>
                </c:pt>
                <c:pt idx="35">
                  <c:v>13.091174887892375</c:v>
                </c:pt>
                <c:pt idx="36">
                  <c:v>14.028960544185809</c:v>
                </c:pt>
                <c:pt idx="37">
                  <c:v>14.394616844815843</c:v>
                </c:pt>
                <c:pt idx="38">
                  <c:v>14.235706805069203</c:v>
                </c:pt>
                <c:pt idx="39">
                  <c:v>13.818430800799186</c:v>
                </c:pt>
                <c:pt idx="40">
                  <c:v>14.430200418810045</c:v>
                </c:pt>
                <c:pt idx="41">
                  <c:v>15.796837135356823</c:v>
                </c:pt>
                <c:pt idx="42">
                  <c:v>17.61912663523233</c:v>
                </c:pt>
                <c:pt idx="43">
                  <c:v>18.935491518575741</c:v>
                </c:pt>
                <c:pt idx="44">
                  <c:v>19.019755075361623</c:v>
                </c:pt>
                <c:pt idx="45">
                  <c:v>18.066452028984003</c:v>
                </c:pt>
                <c:pt idx="46">
                  <c:v>18.389942547640636</c:v>
                </c:pt>
                <c:pt idx="47">
                  <c:v>18.956307010828045</c:v>
                </c:pt>
                <c:pt idx="48">
                  <c:v>18.566395871655384</c:v>
                </c:pt>
                <c:pt idx="49">
                  <c:v>18.970434170098383</c:v>
                </c:pt>
                <c:pt idx="50">
                  <c:v>18.57500065026634</c:v>
                </c:pt>
                <c:pt idx="51">
                  <c:v>19.186395513752629</c:v>
                </c:pt>
                <c:pt idx="52">
                  <c:v>17.489303667524993</c:v>
                </c:pt>
                <c:pt idx="53">
                  <c:v>18.456610761109538</c:v>
                </c:pt>
                <c:pt idx="54">
                  <c:v>19.214518036157013</c:v>
                </c:pt>
                <c:pt idx="55">
                  <c:v>18.858669037007971</c:v>
                </c:pt>
                <c:pt idx="56">
                  <c:v>19.20849632917605</c:v>
                </c:pt>
                <c:pt idx="57">
                  <c:v>19.584468306928194</c:v>
                </c:pt>
                <c:pt idx="58">
                  <c:v>18.74343713738029</c:v>
                </c:pt>
                <c:pt idx="59">
                  <c:v>18.651482037358292</c:v>
                </c:pt>
                <c:pt idx="60">
                  <c:v>18.418652194983977</c:v>
                </c:pt>
                <c:pt idx="61">
                  <c:v>18.190857409590457</c:v>
                </c:pt>
                <c:pt idx="62">
                  <c:v>17.799220054964881</c:v>
                </c:pt>
                <c:pt idx="63">
                  <c:v>16.839647612331788</c:v>
                </c:pt>
                <c:pt idx="64">
                  <c:v>18.53878792704333</c:v>
                </c:pt>
                <c:pt idx="65">
                  <c:v>17.835691374515395</c:v>
                </c:pt>
                <c:pt idx="66">
                  <c:v>12.25861629549776</c:v>
                </c:pt>
                <c:pt idx="67">
                  <c:v>12.534216835908406</c:v>
                </c:pt>
                <c:pt idx="68">
                  <c:v>12.269746470500365</c:v>
                </c:pt>
                <c:pt idx="69">
                  <c:v>10.93634157069312</c:v>
                </c:pt>
                <c:pt idx="70">
                  <c:v>11.445701831073606</c:v>
                </c:pt>
                <c:pt idx="71">
                  <c:v>10.63067425400812</c:v>
                </c:pt>
                <c:pt idx="72">
                  <c:v>11.108554717172559</c:v>
                </c:pt>
                <c:pt idx="73">
                  <c:v>10.649797238015623</c:v>
                </c:pt>
                <c:pt idx="74">
                  <c:v>10.796525929654678</c:v>
                </c:pt>
                <c:pt idx="75">
                  <c:v>10.446921420879729</c:v>
                </c:pt>
                <c:pt idx="76">
                  <c:v>9.0929844493760079</c:v>
                </c:pt>
                <c:pt idx="77">
                  <c:v>6.9915219180317401</c:v>
                </c:pt>
                <c:pt idx="78">
                  <c:v>9.7401098533951735</c:v>
                </c:pt>
                <c:pt idx="79">
                  <c:v>9.0508552857116342</c:v>
                </c:pt>
                <c:pt idx="80">
                  <c:v>8.6664747454653366</c:v>
                </c:pt>
                <c:pt idx="81">
                  <c:v>9.3826654411601762</c:v>
                </c:pt>
                <c:pt idx="82">
                  <c:v>10.262417263078859</c:v>
                </c:pt>
                <c:pt idx="83">
                  <c:v>9.846797805414397</c:v>
                </c:pt>
                <c:pt idx="84">
                  <c:v>12.54831234765601</c:v>
                </c:pt>
              </c:numCache>
            </c:numRef>
          </c:xVal>
          <c:yVal>
            <c:numRef>
              <c:f>Sheet1!$F$2:$F$86</c:f>
              <c:numCache>
                <c:formatCode>General</c:formatCode>
                <c:ptCount val="85"/>
                <c:pt idx="10">
                  <c:v>124.68</c:v>
                </c:pt>
                <c:pt idx="11">
                  <c:v>132.56</c:v>
                </c:pt>
                <c:pt idx="12">
                  <c:v>130.5</c:v>
                </c:pt>
                <c:pt idx="13">
                  <c:v>130.84</c:v>
                </c:pt>
                <c:pt idx="14">
                  <c:v>121.88</c:v>
                </c:pt>
                <c:pt idx="15">
                  <c:v>99.96</c:v>
                </c:pt>
                <c:pt idx="16">
                  <c:v>124.45</c:v>
                </c:pt>
                <c:pt idx="17">
                  <c:v>133.69</c:v>
                </c:pt>
                <c:pt idx="18">
                  <c:v>149.74</c:v>
                </c:pt>
                <c:pt idx="19">
                  <c:v>161.88</c:v>
                </c:pt>
                <c:pt idx="20">
                  <c:v>180.02</c:v>
                </c:pt>
                <c:pt idx="21">
                  <c:v>207.16</c:v>
                </c:pt>
                <c:pt idx="22">
                  <c:v>221.02</c:v>
                </c:pt>
                <c:pt idx="23">
                  <c:v>223.42</c:v>
                </c:pt>
                <c:pt idx="24">
                  <c:v>229.29</c:v>
                </c:pt>
                <c:pt idx="25">
                  <c:v>230.27</c:v>
                </c:pt>
                <c:pt idx="26">
                  <c:v>273.17</c:v>
                </c:pt>
                <c:pt idx="27">
                  <c:v>264.11</c:v>
                </c:pt>
                <c:pt idx="28">
                  <c:v>252.92</c:v>
                </c:pt>
                <c:pt idx="29">
                  <c:v>280.75</c:v>
                </c:pt>
                <c:pt idx="30">
                  <c:v>324.55</c:v>
                </c:pt>
                <c:pt idx="31">
                  <c:v>355.55</c:v>
                </c:pt>
                <c:pt idx="32">
                  <c:v>365.58</c:v>
                </c:pt>
                <c:pt idx="33">
                  <c:v>421.84</c:v>
                </c:pt>
                <c:pt idx="34">
                  <c:v>418.65</c:v>
                </c:pt>
                <c:pt idx="35">
                  <c:v>456.63</c:v>
                </c:pt>
                <c:pt idx="36">
                  <c:v>461.72</c:v>
                </c:pt>
                <c:pt idx="37">
                  <c:v>452.75</c:v>
                </c:pt>
                <c:pt idx="38">
                  <c:v>540.57000000000005</c:v>
                </c:pt>
                <c:pt idx="39">
                  <c:v>558.44000000000005</c:v>
                </c:pt>
                <c:pt idx="40">
                  <c:v>594.63</c:v>
                </c:pt>
                <c:pt idx="41">
                  <c:v>586.29</c:v>
                </c:pt>
                <c:pt idx="42">
                  <c:v>628.92999999999995</c:v>
                </c:pt>
                <c:pt idx="43">
                  <c:v>658.19</c:v>
                </c:pt>
                <c:pt idx="44">
                  <c:v>678.08</c:v>
                </c:pt>
                <c:pt idx="45">
                  <c:v>730.54</c:v>
                </c:pt>
                <c:pt idx="46">
                  <c:v>730.94</c:v>
                </c:pt>
                <c:pt idx="47">
                  <c:v>782.89</c:v>
                </c:pt>
                <c:pt idx="48">
                  <c:v>803.86</c:v>
                </c:pt>
                <c:pt idx="49">
                  <c:v>753.48</c:v>
                </c:pt>
                <c:pt idx="50">
                  <c:v>865.16</c:v>
                </c:pt>
                <c:pt idx="51">
                  <c:v>886.33</c:v>
                </c:pt>
                <c:pt idx="52">
                  <c:v>941.52</c:v>
                </c:pt>
                <c:pt idx="53">
                  <c:v>933.51</c:v>
                </c:pt>
                <c:pt idx="54">
                  <c:v>996.43</c:v>
                </c:pt>
                <c:pt idx="55">
                  <c:v>1055.56</c:v>
                </c:pt>
                <c:pt idx="56">
                  <c:v>1058.5999999999999</c:v>
                </c:pt>
                <c:pt idx="57">
                  <c:v>1140.8800000000001</c:v>
                </c:pt>
                <c:pt idx="58">
                  <c:v>1123.53</c:v>
                </c:pt>
                <c:pt idx="59">
                  <c:v>1202.02</c:v>
                </c:pt>
                <c:pt idx="60">
                  <c:v>1220.3</c:v>
                </c:pt>
                <c:pt idx="61">
                  <c:v>1210.27</c:v>
                </c:pt>
                <c:pt idx="62">
                  <c:v>1344</c:v>
                </c:pt>
                <c:pt idx="63">
                  <c:v>1330.4</c:v>
                </c:pt>
                <c:pt idx="64">
                  <c:v>1403.58</c:v>
                </c:pt>
                <c:pt idx="65">
                  <c:v>1388.51</c:v>
                </c:pt>
                <c:pt idx="66">
                  <c:v>1443.55</c:v>
                </c:pt>
                <c:pt idx="67">
                  <c:v>1496.3</c:v>
                </c:pt>
                <c:pt idx="68">
                  <c:v>1504.17</c:v>
                </c:pt>
                <c:pt idx="69">
                  <c:v>1658.5</c:v>
                </c:pt>
                <c:pt idx="70">
                  <c:v>1548.2</c:v>
                </c:pt>
                <c:pt idx="71">
                  <c:v>1673</c:v>
                </c:pt>
                <c:pt idx="72">
                  <c:v>1699.6</c:v>
                </c:pt>
                <c:pt idx="73">
                  <c:v>1610.62</c:v>
                </c:pt>
                <c:pt idx="74">
                  <c:v>1830.15</c:v>
                </c:pt>
                <c:pt idx="75">
                  <c:v>1789.34</c:v>
                </c:pt>
                <c:pt idx="76">
                  <c:v>1867.75</c:v>
                </c:pt>
                <c:pt idx="77">
                  <c:v>1839.5</c:v>
                </c:pt>
                <c:pt idx="78">
                  <c:v>1946.79</c:v>
                </c:pt>
                <c:pt idx="79">
                  <c:v>2000.83</c:v>
                </c:pt>
                <c:pt idx="80">
                  <c:v>1963.34</c:v>
                </c:pt>
                <c:pt idx="81">
                  <c:v>2070.09</c:v>
                </c:pt>
                <c:pt idx="82">
                  <c:v>2046.7</c:v>
                </c:pt>
                <c:pt idx="83">
                  <c:v>2163.4699999999998</c:v>
                </c:pt>
                <c:pt idx="84">
                  <c:v>2170.34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D2-437B-A15F-A951F092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016975"/>
        <c:axId val="1953009295"/>
      </c:scatterChart>
      <c:valAx>
        <c:axId val="195301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Credit Growth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09295"/>
        <c:crosses val="autoZero"/>
        <c:crossBetween val="midCat"/>
      </c:valAx>
      <c:valAx>
        <c:axId val="195300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UPI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1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UPI vs Personal Loan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UPI_volume_core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065230606392183E-3"/>
                  <c:y val="-2.76397157672364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Sheet1!$E$2:$E$86</c:f>
              <c:numCache>
                <c:formatCode>General</c:formatCode>
                <c:ptCount val="85"/>
                <c:pt idx="14">
                  <c:v>17.045871627487273</c:v>
                </c:pt>
                <c:pt idx="15">
                  <c:v>14.993110280542176</c:v>
                </c:pt>
                <c:pt idx="16">
                  <c:v>12.05646032031671</c:v>
                </c:pt>
                <c:pt idx="17">
                  <c:v>10.594405282412778</c:v>
                </c:pt>
                <c:pt idx="18">
                  <c:v>10.49698287336942</c:v>
                </c:pt>
                <c:pt idx="19">
                  <c:v>11.236629547272292</c:v>
                </c:pt>
                <c:pt idx="20">
                  <c:v>10.598542490440256</c:v>
                </c:pt>
                <c:pt idx="21">
                  <c:v>9.1658194614534061</c:v>
                </c:pt>
                <c:pt idx="22">
                  <c:v>9.2818966859216534</c:v>
                </c:pt>
                <c:pt idx="23">
                  <c:v>9.9762091004245601</c:v>
                </c:pt>
                <c:pt idx="24">
                  <c:v>9.4587063891484746</c:v>
                </c:pt>
                <c:pt idx="25">
                  <c:v>9.0966062668935912</c:v>
                </c:pt>
                <c:pt idx="26">
                  <c:v>9.5525327096492205</c:v>
                </c:pt>
                <c:pt idx="27">
                  <c:v>10.176053745772728</c:v>
                </c:pt>
                <c:pt idx="28">
                  <c:v>12.832389389555354</c:v>
                </c:pt>
                <c:pt idx="29">
                  <c:v>12.441271955137889</c:v>
                </c:pt>
                <c:pt idx="30">
                  <c:v>11.891277347742779</c:v>
                </c:pt>
                <c:pt idx="31">
                  <c:v>12.938629933068224</c:v>
                </c:pt>
                <c:pt idx="32">
                  <c:v>13.570826725502361</c:v>
                </c:pt>
                <c:pt idx="33">
                  <c:v>13.486191299803419</c:v>
                </c:pt>
                <c:pt idx="34">
                  <c:v>13.176643849569537</c:v>
                </c:pt>
                <c:pt idx="35">
                  <c:v>12.887813993728336</c:v>
                </c:pt>
                <c:pt idx="36">
                  <c:v>15.934511734640822</c:v>
                </c:pt>
                <c:pt idx="37">
                  <c:v>16.739813868298327</c:v>
                </c:pt>
                <c:pt idx="38">
                  <c:v>19.204693996883847</c:v>
                </c:pt>
                <c:pt idx="39">
                  <c:v>19.952386926948627</c:v>
                </c:pt>
                <c:pt idx="40">
                  <c:v>22.508174048068994</c:v>
                </c:pt>
                <c:pt idx="41">
                  <c:v>24.416296673532113</c:v>
                </c:pt>
                <c:pt idx="42">
                  <c:v>26.324719805771558</c:v>
                </c:pt>
                <c:pt idx="43">
                  <c:v>25.720238384659556</c:v>
                </c:pt>
                <c:pt idx="44">
                  <c:v>26.054446004423749</c:v>
                </c:pt>
                <c:pt idx="45">
                  <c:v>26.844536545352483</c:v>
                </c:pt>
                <c:pt idx="46">
                  <c:v>27.564158737365908</c:v>
                </c:pt>
                <c:pt idx="47">
                  <c:v>27.295900423054654</c:v>
                </c:pt>
                <c:pt idx="48">
                  <c:v>27.439816441563615</c:v>
                </c:pt>
                <c:pt idx="49">
                  <c:v>24.474221948468731</c:v>
                </c:pt>
                <c:pt idx="50">
                  <c:v>21.370541182163215</c:v>
                </c:pt>
                <c:pt idx="51">
                  <c:v>21.046462151498304</c:v>
                </c:pt>
                <c:pt idx="52">
                  <c:v>19.65147765330919</c:v>
                </c:pt>
                <c:pt idx="53">
                  <c:v>19.320799397429834</c:v>
                </c:pt>
                <c:pt idx="54">
                  <c:v>21.048533886863964</c:v>
                </c:pt>
                <c:pt idx="55">
                  <c:v>31.65865149181306</c:v>
                </c:pt>
                <c:pt idx="56">
                  <c:v>8.0954388627338503</c:v>
                </c:pt>
                <c:pt idx="57">
                  <c:v>30.384256535510758</c:v>
                </c:pt>
                <c:pt idx="58">
                  <c:v>32.598702750587826</c:v>
                </c:pt>
                <c:pt idx="59">
                  <c:v>33.054866287927624</c:v>
                </c:pt>
                <c:pt idx="60">
                  <c:v>31.518007981410602</c:v>
                </c:pt>
                <c:pt idx="61">
                  <c:v>31.803740154397442</c:v>
                </c:pt>
                <c:pt idx="62">
                  <c:v>31.258199301871102</c:v>
                </c:pt>
                <c:pt idx="63">
                  <c:v>30.622020930350978</c:v>
                </c:pt>
                <c:pt idx="64">
                  <c:v>30.179372131997528</c:v>
                </c:pt>
                <c:pt idx="65">
                  <c:v>31.872137533257238</c:v>
                </c:pt>
                <c:pt idx="66">
                  <c:v>28.752114535046381</c:v>
                </c:pt>
                <c:pt idx="67">
                  <c:v>16.864120098913048</c:v>
                </c:pt>
                <c:pt idx="68">
                  <c:v>40.886990834901439</c:v>
                </c:pt>
                <c:pt idx="69">
                  <c:v>15.950127133049774</c:v>
                </c:pt>
                <c:pt idx="70">
                  <c:v>12.964227942478113</c:v>
                </c:pt>
                <c:pt idx="71">
                  <c:v>13.414986263290739</c:v>
                </c:pt>
                <c:pt idx="72">
                  <c:v>11.968934713162582</c:v>
                </c:pt>
                <c:pt idx="73">
                  <c:v>11.759478445916628</c:v>
                </c:pt>
                <c:pt idx="74">
                  <c:v>11.60134887838986</c:v>
                </c:pt>
                <c:pt idx="75">
                  <c:v>11.547134636362788</c:v>
                </c:pt>
                <c:pt idx="76">
                  <c:v>11.524338044315542</c:v>
                </c:pt>
                <c:pt idx="77">
                  <c:v>11.093910842088883</c:v>
                </c:pt>
                <c:pt idx="78">
                  <c:v>12.106727047066347</c:v>
                </c:pt>
                <c:pt idx="79">
                  <c:v>11.415065892258603</c:v>
                </c:pt>
                <c:pt idx="80">
                  <c:v>11.842158016367254</c:v>
                </c:pt>
                <c:pt idx="81">
                  <c:v>11.748937189807096</c:v>
                </c:pt>
                <c:pt idx="82">
                  <c:v>14.315598685147135</c:v>
                </c:pt>
                <c:pt idx="83">
                  <c:v>13.10515904845737</c:v>
                </c:pt>
                <c:pt idx="84">
                  <c:v>14.726552779650115</c:v>
                </c:pt>
              </c:numCache>
            </c:numRef>
          </c:xVal>
          <c:yVal>
            <c:numRef>
              <c:f>Sheet1!$F$2:$F$86</c:f>
              <c:numCache>
                <c:formatCode>General</c:formatCode>
                <c:ptCount val="85"/>
                <c:pt idx="10">
                  <c:v>124.68</c:v>
                </c:pt>
                <c:pt idx="11">
                  <c:v>132.56</c:v>
                </c:pt>
                <c:pt idx="12">
                  <c:v>130.5</c:v>
                </c:pt>
                <c:pt idx="13">
                  <c:v>130.84</c:v>
                </c:pt>
                <c:pt idx="14">
                  <c:v>121.88</c:v>
                </c:pt>
                <c:pt idx="15">
                  <c:v>99.96</c:v>
                </c:pt>
                <c:pt idx="16">
                  <c:v>124.45</c:v>
                </c:pt>
                <c:pt idx="17">
                  <c:v>133.69</c:v>
                </c:pt>
                <c:pt idx="18">
                  <c:v>149.74</c:v>
                </c:pt>
                <c:pt idx="19">
                  <c:v>161.88</c:v>
                </c:pt>
                <c:pt idx="20">
                  <c:v>180.02</c:v>
                </c:pt>
                <c:pt idx="21">
                  <c:v>207.16</c:v>
                </c:pt>
                <c:pt idx="22">
                  <c:v>221.02</c:v>
                </c:pt>
                <c:pt idx="23">
                  <c:v>223.42</c:v>
                </c:pt>
                <c:pt idx="24">
                  <c:v>229.29</c:v>
                </c:pt>
                <c:pt idx="25">
                  <c:v>230.27</c:v>
                </c:pt>
                <c:pt idx="26">
                  <c:v>273.17</c:v>
                </c:pt>
                <c:pt idx="27">
                  <c:v>264.11</c:v>
                </c:pt>
                <c:pt idx="28">
                  <c:v>252.92</c:v>
                </c:pt>
                <c:pt idx="29">
                  <c:v>280.75</c:v>
                </c:pt>
                <c:pt idx="30">
                  <c:v>324.55</c:v>
                </c:pt>
                <c:pt idx="31">
                  <c:v>355.55</c:v>
                </c:pt>
                <c:pt idx="32">
                  <c:v>365.58</c:v>
                </c:pt>
                <c:pt idx="33">
                  <c:v>421.84</c:v>
                </c:pt>
                <c:pt idx="34">
                  <c:v>418.65</c:v>
                </c:pt>
                <c:pt idx="35">
                  <c:v>456.63</c:v>
                </c:pt>
                <c:pt idx="36">
                  <c:v>461.72</c:v>
                </c:pt>
                <c:pt idx="37">
                  <c:v>452.75</c:v>
                </c:pt>
                <c:pt idx="38">
                  <c:v>540.57000000000005</c:v>
                </c:pt>
                <c:pt idx="39">
                  <c:v>558.44000000000005</c:v>
                </c:pt>
                <c:pt idx="40">
                  <c:v>594.63</c:v>
                </c:pt>
                <c:pt idx="41">
                  <c:v>586.29</c:v>
                </c:pt>
                <c:pt idx="42">
                  <c:v>628.92999999999995</c:v>
                </c:pt>
                <c:pt idx="43">
                  <c:v>658.19</c:v>
                </c:pt>
                <c:pt idx="44">
                  <c:v>678.08</c:v>
                </c:pt>
                <c:pt idx="45">
                  <c:v>730.54</c:v>
                </c:pt>
                <c:pt idx="46">
                  <c:v>730.94</c:v>
                </c:pt>
                <c:pt idx="47">
                  <c:v>782.89</c:v>
                </c:pt>
                <c:pt idx="48">
                  <c:v>803.86</c:v>
                </c:pt>
                <c:pt idx="49">
                  <c:v>753.48</c:v>
                </c:pt>
                <c:pt idx="50">
                  <c:v>865.16</c:v>
                </c:pt>
                <c:pt idx="51">
                  <c:v>886.33</c:v>
                </c:pt>
                <c:pt idx="52">
                  <c:v>941.52</c:v>
                </c:pt>
                <c:pt idx="53">
                  <c:v>933.51</c:v>
                </c:pt>
                <c:pt idx="54">
                  <c:v>996.43</c:v>
                </c:pt>
                <c:pt idx="55">
                  <c:v>1055.56</c:v>
                </c:pt>
                <c:pt idx="56">
                  <c:v>1058.5999999999999</c:v>
                </c:pt>
                <c:pt idx="57">
                  <c:v>1140.8800000000001</c:v>
                </c:pt>
                <c:pt idx="58">
                  <c:v>1123.53</c:v>
                </c:pt>
                <c:pt idx="59">
                  <c:v>1202.02</c:v>
                </c:pt>
                <c:pt idx="60">
                  <c:v>1220.3</c:v>
                </c:pt>
                <c:pt idx="61">
                  <c:v>1210.27</c:v>
                </c:pt>
                <c:pt idx="62">
                  <c:v>1344</c:v>
                </c:pt>
                <c:pt idx="63">
                  <c:v>1330.4</c:v>
                </c:pt>
                <c:pt idx="64">
                  <c:v>1403.58</c:v>
                </c:pt>
                <c:pt idx="65">
                  <c:v>1388.51</c:v>
                </c:pt>
                <c:pt idx="66">
                  <c:v>1443.55</c:v>
                </c:pt>
                <c:pt idx="67">
                  <c:v>1496.3</c:v>
                </c:pt>
                <c:pt idx="68">
                  <c:v>1504.17</c:v>
                </c:pt>
                <c:pt idx="69">
                  <c:v>1658.5</c:v>
                </c:pt>
                <c:pt idx="70">
                  <c:v>1548.2</c:v>
                </c:pt>
                <c:pt idx="71">
                  <c:v>1673</c:v>
                </c:pt>
                <c:pt idx="72">
                  <c:v>1699.6</c:v>
                </c:pt>
                <c:pt idx="73">
                  <c:v>1610.62</c:v>
                </c:pt>
                <c:pt idx="74">
                  <c:v>1830.15</c:v>
                </c:pt>
                <c:pt idx="75">
                  <c:v>1789.34</c:v>
                </c:pt>
                <c:pt idx="76">
                  <c:v>1867.75</c:v>
                </c:pt>
                <c:pt idx="77">
                  <c:v>1839.5</c:v>
                </c:pt>
                <c:pt idx="78">
                  <c:v>1946.79</c:v>
                </c:pt>
                <c:pt idx="79">
                  <c:v>2000.83</c:v>
                </c:pt>
                <c:pt idx="80">
                  <c:v>1963.34</c:v>
                </c:pt>
                <c:pt idx="81">
                  <c:v>2070.09</c:v>
                </c:pt>
                <c:pt idx="82">
                  <c:v>2046.7</c:v>
                </c:pt>
                <c:pt idx="83">
                  <c:v>2163.4699999999998</c:v>
                </c:pt>
                <c:pt idx="84">
                  <c:v>2170.34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8C-4E0E-B687-FFDF15CF1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972815"/>
        <c:axId val="1952981935"/>
      </c:scatterChart>
      <c:valAx>
        <c:axId val="195297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Personal</a:t>
                </a:r>
                <a:r>
                  <a:rPr lang="en-IN" baseline="0"/>
                  <a:t> Loan Growth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81935"/>
        <c:crosses val="autoZero"/>
        <c:crossBetween val="midCat"/>
      </c:valAx>
      <c:valAx>
        <c:axId val="19529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7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PRE vs POST DLG Policy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Sheet2!$V$4</c:f>
              <c:strCache>
                <c:ptCount val="1"/>
                <c:pt idx="0">
                  <c:v>average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Sheet2!$U$5:$U$6</c:f>
              <c:strCache>
                <c:ptCount val="2"/>
                <c:pt idx="0">
                  <c:v>pre-DLG</c:v>
                </c:pt>
                <c:pt idx="1">
                  <c:v>Post DLG</c:v>
                </c:pt>
              </c:strCache>
            </c:strRef>
          </c:cat>
          <c:val>
            <c:numRef>
              <c:f>Sheet2!$V$5:$V$6</c:f>
              <c:numCache>
                <c:formatCode>General</c:formatCode>
                <c:ptCount val="2"/>
                <c:pt idx="0">
                  <c:v>12.629327862408166</c:v>
                </c:pt>
                <c:pt idx="1">
                  <c:v>13.833002350265616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D-4FA4-BB5C-27B8C09F8BC9}"/>
            </c:ext>
          </c:extLst>
        </c:ser>
        <c:ser>
          <c:idx val="1"/>
          <c:order val="1"/>
          <c:tx>
            <c:strRef>
              <c:f>Sheet2!$W$4</c:f>
              <c:strCache>
                <c:ptCount val="1"/>
                <c:pt idx="0">
                  <c:v>volatality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Sheet2!$U$5:$U$6</c:f>
              <c:strCache>
                <c:ptCount val="2"/>
                <c:pt idx="0">
                  <c:v>pre-DLG</c:v>
                </c:pt>
                <c:pt idx="1">
                  <c:v>Post DLG</c:v>
                </c:pt>
              </c:strCache>
            </c:strRef>
          </c:cat>
          <c:val>
            <c:numRef>
              <c:f>Sheet2!$W$5:$W$6</c:f>
              <c:numCache>
                <c:formatCode>General</c:formatCode>
                <c:ptCount val="2"/>
                <c:pt idx="0">
                  <c:v>4.2458370437400212</c:v>
                </c:pt>
                <c:pt idx="1">
                  <c:v>4.1687188037184004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6D-4FA4-BB5C-27B8C09F8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9397039"/>
        <c:axId val="1359397519"/>
      </c:barChart>
      <c:catAx>
        <c:axId val="135939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</a:t>
                </a:r>
                <a:r>
                  <a:rPr lang="en-IN" baseline="0"/>
                  <a:t> and Post DLG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397519"/>
        <c:crosses val="autoZero"/>
        <c:auto val="1"/>
        <c:lblAlgn val="ctr"/>
        <c:lblOffset val="100"/>
        <c:noMultiLvlLbl val="0"/>
      </c:catAx>
      <c:valAx>
        <c:axId val="13593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3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480646</xdr:colOff>
      <xdr:row>15</xdr:row>
      <xdr:rowOff>72414</xdr:rowOff>
    </xdr:from>
    <xdr:to>
      <xdr:col>7</xdr:col>
      <xdr:colOff>577097</xdr:colOff>
      <xdr:row>39</xdr:row>
      <xdr:rowOff>78007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047E5E-383F-42B5-B3F5-84D5CC41C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514682</xdr:colOff>
      <xdr:row>37</xdr:row>
      <xdr:rowOff>158234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C78BB3-C3EF-4B36-971E-F94F6FC4F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415636</xdr:colOff>
      <xdr:row>15</xdr:row>
      <xdr:rowOff>34637</xdr:rowOff>
    </xdr:from>
    <xdr:to>
      <xdr:col>37</xdr:col>
      <xdr:colOff>167407</xdr:colOff>
      <xdr:row>37</xdr:row>
      <xdr:rowOff>17318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598A36-81BA-4873-B91A-F5847BE11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44449</xdr:colOff>
      <xdr:row>42</xdr:row>
      <xdr:rowOff>145143</xdr:rowOff>
    </xdr:from>
    <xdr:to>
      <xdr:col>3</xdr:col>
      <xdr:colOff>1427842</xdr:colOff>
      <xdr:row>57</xdr:row>
      <xdr:rowOff>102507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C9EFDC-70C8-61D5-0543-218318E95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42</xdr:row>
      <xdr:rowOff>0</xdr:rowOff>
    </xdr:from>
    <xdr:to>
      <xdr:col>13</xdr:col>
      <xdr:colOff>1323685</xdr:colOff>
      <xdr:row>68</xdr:row>
      <xdr:rowOff>103909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30A4AC-2DBD-47EA-9B96-76E0F9654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</xdr:colOff>
      <xdr:row>42</xdr:row>
      <xdr:rowOff>0</xdr:rowOff>
    </xdr:from>
    <xdr:to>
      <xdr:col>23</xdr:col>
      <xdr:colOff>571501</xdr:colOff>
      <xdr:row>62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B19167-B274-49F3-BDE1-53BB080DA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545222</xdr:colOff>
      <xdr:row>41</xdr:row>
      <xdr:rowOff>39413</xdr:rowOff>
    </xdr:from>
    <xdr:to>
      <xdr:col>36</xdr:col>
      <xdr:colOff>328448</xdr:colOff>
      <xdr:row>62</xdr:row>
      <xdr:rowOff>105102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7A152-80C7-DD49-D8A2-8E67F19F0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F251-AB24-420C-A517-69866090DF8D}">
  <dimension ref="A1:U199"/>
  <sheetViews>
    <sheetView topLeftCell="A12" zoomScale="36" zoomScaleNormal="98" workbookViewId="0">
      <selection activeCell="C1" sqref="C1"/>
    </sheetView>
  </sheetViews>
  <sheetFormatPr defaultRowHeight="14.4" x14ac:dyDescent="0.3"/>
  <cols>
    <col min="1" max="1" width="17.88671875" customWidth="1"/>
    <col min="2" max="2" width="27.88671875" customWidth="1"/>
    <col min="3" max="3" width="25.44140625" customWidth="1"/>
    <col min="4" max="4" width="28.6640625" customWidth="1"/>
    <col min="5" max="5" width="27.109375" customWidth="1"/>
    <col min="6" max="6" width="19.77734375" customWidth="1"/>
    <col min="7" max="7" width="15.44140625" customWidth="1"/>
    <col min="8" max="8" width="17.77734375" customWidth="1"/>
    <col min="9" max="9" width="20.77734375" customWidth="1"/>
    <col min="10" max="10" width="20.44140625" customWidth="1"/>
    <col min="11" max="11" width="30.33203125" customWidth="1"/>
    <col min="12" max="12" width="18.5546875" customWidth="1"/>
    <col min="13" max="13" width="14.6640625" customWidth="1"/>
    <col min="14" max="14" width="14.21875" customWidth="1"/>
    <col min="15" max="15" width="10.6640625" customWidth="1"/>
    <col min="21" max="21" width="18" customWidth="1"/>
  </cols>
  <sheetData>
    <row r="1" spans="1:21" s="1" customFormat="1" ht="26.4" customHeight="1" x14ac:dyDescent="0.3">
      <c r="A1" s="1" t="s">
        <v>0</v>
      </c>
      <c r="B1" s="1" t="s">
        <v>10</v>
      </c>
      <c r="C1" s="5" t="s">
        <v>1</v>
      </c>
      <c r="D1" s="1" t="s">
        <v>11</v>
      </c>
      <c r="E1" s="5" t="s">
        <v>7</v>
      </c>
      <c r="F1" s="1" t="s">
        <v>2</v>
      </c>
      <c r="G1" s="1" t="s">
        <v>6</v>
      </c>
      <c r="H1" s="1" t="s">
        <v>3</v>
      </c>
      <c r="I1" s="3" t="s">
        <v>14</v>
      </c>
      <c r="J1" s="3" t="s">
        <v>4</v>
      </c>
      <c r="K1" s="2" t="s">
        <v>5</v>
      </c>
    </row>
    <row r="2" spans="1:21" x14ac:dyDescent="0.3">
      <c r="A2" s="4">
        <v>43466</v>
      </c>
      <c r="D2">
        <v>20996.99</v>
      </c>
      <c r="G2">
        <v>6.25</v>
      </c>
      <c r="H2">
        <v>4</v>
      </c>
      <c r="I2">
        <v>0</v>
      </c>
      <c r="J2">
        <v>0</v>
      </c>
      <c r="U2" s="4"/>
    </row>
    <row r="3" spans="1:21" x14ac:dyDescent="0.3">
      <c r="A3" s="4">
        <v>43497</v>
      </c>
      <c r="D3">
        <v>21370.6338</v>
      </c>
      <c r="G3">
        <v>6.25</v>
      </c>
      <c r="H3">
        <v>4</v>
      </c>
      <c r="I3">
        <v>0</v>
      </c>
      <c r="J3">
        <v>0</v>
      </c>
      <c r="U3" s="4"/>
    </row>
    <row r="4" spans="1:21" x14ac:dyDescent="0.3">
      <c r="A4" s="4">
        <v>43525</v>
      </c>
      <c r="B4">
        <v>9632516</v>
      </c>
      <c r="D4">
        <v>21632.98</v>
      </c>
      <c r="G4">
        <v>6.25</v>
      </c>
      <c r="H4">
        <v>4</v>
      </c>
      <c r="I4">
        <v>0</v>
      </c>
      <c r="J4">
        <v>0</v>
      </c>
      <c r="U4" s="4"/>
    </row>
    <row r="5" spans="1:21" x14ac:dyDescent="0.3">
      <c r="A5" s="4">
        <v>43556</v>
      </c>
      <c r="B5">
        <v>9724811</v>
      </c>
      <c r="D5">
        <v>22207</v>
      </c>
      <c r="G5">
        <v>6</v>
      </c>
      <c r="H5">
        <v>4</v>
      </c>
      <c r="I5">
        <v>0</v>
      </c>
      <c r="J5">
        <v>0</v>
      </c>
      <c r="U5" s="4"/>
    </row>
    <row r="6" spans="1:21" x14ac:dyDescent="0.3">
      <c r="A6" s="4">
        <v>43586</v>
      </c>
      <c r="B6">
        <v>9801448</v>
      </c>
      <c r="D6">
        <v>22228</v>
      </c>
      <c r="G6">
        <v>6</v>
      </c>
      <c r="H6">
        <v>4</v>
      </c>
      <c r="I6">
        <v>0</v>
      </c>
      <c r="J6">
        <v>0</v>
      </c>
      <c r="U6" s="4"/>
    </row>
    <row r="7" spans="1:21" x14ac:dyDescent="0.3">
      <c r="A7" s="4">
        <v>43617</v>
      </c>
      <c r="B7">
        <v>9870260</v>
      </c>
      <c r="D7">
        <v>22414</v>
      </c>
      <c r="G7">
        <v>5.75</v>
      </c>
      <c r="H7">
        <v>4</v>
      </c>
      <c r="I7">
        <v>0</v>
      </c>
      <c r="J7">
        <v>0</v>
      </c>
      <c r="M7" s="18" t="s">
        <v>12</v>
      </c>
      <c r="N7" s="18"/>
      <c r="O7" s="18"/>
      <c r="U7" s="4"/>
    </row>
    <row r="8" spans="1:21" x14ac:dyDescent="0.3">
      <c r="A8" s="4">
        <v>43647</v>
      </c>
      <c r="B8">
        <v>9943632</v>
      </c>
      <c r="D8">
        <v>22538</v>
      </c>
      <c r="G8">
        <v>5.75</v>
      </c>
      <c r="H8">
        <v>4</v>
      </c>
      <c r="I8">
        <v>0</v>
      </c>
      <c r="J8">
        <v>0</v>
      </c>
      <c r="M8" s="6" t="s">
        <v>8</v>
      </c>
      <c r="N8" s="6" t="s">
        <v>9</v>
      </c>
      <c r="O8" s="6" t="s">
        <v>13</v>
      </c>
      <c r="U8" s="4"/>
    </row>
    <row r="9" spans="1:21" x14ac:dyDescent="0.3">
      <c r="A9" s="4">
        <v>43678</v>
      </c>
      <c r="B9">
        <v>10018556</v>
      </c>
      <c r="D9">
        <v>22755.4</v>
      </c>
      <c r="G9">
        <v>5.4</v>
      </c>
      <c r="H9">
        <v>4</v>
      </c>
      <c r="I9">
        <v>0</v>
      </c>
      <c r="J9">
        <v>0</v>
      </c>
      <c r="M9" s="7">
        <v>57948.66</v>
      </c>
      <c r="N9" s="7">
        <v>51754.23</v>
      </c>
      <c r="O9" s="7">
        <f>(M9/N9-1)*100</f>
        <v>11.968934713162582</v>
      </c>
      <c r="U9" s="4"/>
    </row>
    <row r="10" spans="1:21" x14ac:dyDescent="0.3">
      <c r="A10" s="4">
        <v>43709</v>
      </c>
      <c r="B10">
        <v>10079854</v>
      </c>
      <c r="D10">
        <f>2303930/100</f>
        <v>23039.3</v>
      </c>
      <c r="G10">
        <v>5.4</v>
      </c>
      <c r="H10">
        <v>4</v>
      </c>
      <c r="I10">
        <v>0</v>
      </c>
      <c r="J10">
        <v>0</v>
      </c>
      <c r="M10" s="7">
        <v>58315.47</v>
      </c>
      <c r="N10" s="7">
        <v>52179.44</v>
      </c>
      <c r="O10" s="7">
        <f t="shared" ref="O10:O21" si="0">(M10/N10-1)*100</f>
        <v>11.759478445916628</v>
      </c>
      <c r="U10" s="4"/>
    </row>
    <row r="11" spans="1:21" x14ac:dyDescent="0.3">
      <c r="A11" s="4">
        <v>43739</v>
      </c>
      <c r="B11">
        <v>10127861</v>
      </c>
      <c r="D11">
        <f>2355785/100</f>
        <v>23557.85</v>
      </c>
      <c r="G11">
        <v>5.15</v>
      </c>
      <c r="H11">
        <v>4</v>
      </c>
      <c r="I11">
        <v>0</v>
      </c>
      <c r="J11">
        <v>0</v>
      </c>
      <c r="M11" s="7">
        <v>58789.18</v>
      </c>
      <c r="N11" s="7">
        <v>52677.84</v>
      </c>
      <c r="O11" s="7">
        <f t="shared" si="0"/>
        <v>11.60134887838986</v>
      </c>
      <c r="U11" s="4"/>
    </row>
    <row r="12" spans="1:21" x14ac:dyDescent="0.3">
      <c r="A12" s="4">
        <v>43770</v>
      </c>
      <c r="B12">
        <v>10190096</v>
      </c>
      <c r="D12">
        <f>2389684/100</f>
        <v>23896.84</v>
      </c>
      <c r="F12">
        <v>124.68</v>
      </c>
      <c r="G12">
        <v>5.15</v>
      </c>
      <c r="H12">
        <v>4</v>
      </c>
      <c r="I12">
        <v>0</v>
      </c>
      <c r="J12">
        <v>0</v>
      </c>
      <c r="M12" s="7">
        <v>59522.99</v>
      </c>
      <c r="N12" s="7">
        <v>53361.29</v>
      </c>
      <c r="O12" s="7">
        <f t="shared" si="0"/>
        <v>11.547134636362788</v>
      </c>
      <c r="U12" s="4"/>
    </row>
    <row r="13" spans="1:21" x14ac:dyDescent="0.3">
      <c r="A13" s="4">
        <v>43800</v>
      </c>
      <c r="B13">
        <v>10264633</v>
      </c>
      <c r="D13">
        <f>2404701/100</f>
        <v>24047.01</v>
      </c>
      <c r="F13">
        <v>132.56</v>
      </c>
      <c r="G13">
        <v>5.15</v>
      </c>
      <c r="H13">
        <v>4</v>
      </c>
      <c r="I13">
        <v>0</v>
      </c>
      <c r="J13">
        <v>0</v>
      </c>
      <c r="M13" s="7">
        <v>59808.93</v>
      </c>
      <c r="N13" s="7">
        <v>53628.59</v>
      </c>
      <c r="O13" s="7">
        <f t="shared" si="0"/>
        <v>11.524338044315542</v>
      </c>
      <c r="U13" s="4"/>
    </row>
    <row r="14" spans="1:21" x14ac:dyDescent="0.3">
      <c r="A14" s="4">
        <v>43831</v>
      </c>
      <c r="B14">
        <v>10341940</v>
      </c>
      <c r="D14">
        <f>2433282/100</f>
        <v>24332.82</v>
      </c>
      <c r="F14">
        <v>130.5</v>
      </c>
      <c r="G14">
        <v>5.15</v>
      </c>
      <c r="H14">
        <v>4</v>
      </c>
      <c r="I14">
        <v>0</v>
      </c>
      <c r="J14">
        <v>0</v>
      </c>
      <c r="M14" s="7">
        <v>60619.87</v>
      </c>
      <c r="N14" s="7">
        <v>54566.33</v>
      </c>
      <c r="O14" s="7">
        <f t="shared" si="0"/>
        <v>11.093910842088883</v>
      </c>
      <c r="U14" s="4"/>
    </row>
    <row r="15" spans="1:21" x14ac:dyDescent="0.3">
      <c r="A15" s="4">
        <v>43862</v>
      </c>
      <c r="B15">
        <v>10428357</v>
      </c>
      <c r="D15">
        <f>2497250/100</f>
        <v>24972.5</v>
      </c>
      <c r="F15">
        <v>130.84</v>
      </c>
      <c r="G15">
        <v>5.15</v>
      </c>
      <c r="H15">
        <v>4</v>
      </c>
      <c r="I15">
        <v>0</v>
      </c>
      <c r="J15">
        <v>0</v>
      </c>
      <c r="M15" s="7">
        <v>61502.95</v>
      </c>
      <c r="N15" s="7">
        <v>54861.07</v>
      </c>
      <c r="O15" s="7">
        <f t="shared" si="0"/>
        <v>12.106727047066347</v>
      </c>
      <c r="U15" s="4"/>
    </row>
    <row r="16" spans="1:21" x14ac:dyDescent="0.3">
      <c r="A16" s="4">
        <v>43891</v>
      </c>
      <c r="B16">
        <v>10512492</v>
      </c>
      <c r="C16">
        <f t="shared" ref="C16:C47" si="1">(B16/B4-1)*100</f>
        <v>9.1354740547537006</v>
      </c>
      <c r="D16">
        <v>25320.51</v>
      </c>
      <c r="E16">
        <f>(D16/D4-1)*100</f>
        <v>17.045871627487273</v>
      </c>
      <c r="F16">
        <v>121.88</v>
      </c>
      <c r="G16">
        <v>4.4000000000000004</v>
      </c>
      <c r="H16">
        <v>3</v>
      </c>
      <c r="I16">
        <v>0</v>
      </c>
      <c r="J16">
        <v>1</v>
      </c>
      <c r="M16" s="7">
        <v>61610.4702597</v>
      </c>
      <c r="N16" s="7">
        <v>55298.15</v>
      </c>
      <c r="O16" s="7">
        <f t="shared" si="0"/>
        <v>11.415065892258603</v>
      </c>
      <c r="U16" s="4"/>
    </row>
    <row r="17" spans="1:21" x14ac:dyDescent="0.3">
      <c r="A17" s="4">
        <v>43922</v>
      </c>
      <c r="B17">
        <v>10569180</v>
      </c>
      <c r="C17">
        <f t="shared" si="1"/>
        <v>8.6826263255913148</v>
      </c>
      <c r="D17">
        <v>25536.52</v>
      </c>
      <c r="E17">
        <v>14.993110280542176</v>
      </c>
      <c r="F17">
        <v>99.96</v>
      </c>
      <c r="G17">
        <v>4.4000000000000004</v>
      </c>
      <c r="H17">
        <v>3</v>
      </c>
      <c r="I17">
        <v>0</v>
      </c>
      <c r="J17">
        <v>1</v>
      </c>
      <c r="M17" s="7">
        <v>62133.731938539997</v>
      </c>
      <c r="N17" s="7">
        <v>55554.84</v>
      </c>
      <c r="O17" s="7">
        <f t="shared" si="0"/>
        <v>11.842158016367254</v>
      </c>
      <c r="U17" s="4"/>
    </row>
    <row r="18" spans="1:21" x14ac:dyDescent="0.3">
      <c r="A18" s="4">
        <v>43952</v>
      </c>
      <c r="B18">
        <v>10629455</v>
      </c>
      <c r="C18">
        <f t="shared" si="1"/>
        <v>8.4478028144412853</v>
      </c>
      <c r="D18">
        <v>24907.91</v>
      </c>
      <c r="E18">
        <v>12.05646032031671</v>
      </c>
      <c r="F18">
        <v>124.45</v>
      </c>
      <c r="G18">
        <v>4</v>
      </c>
      <c r="H18">
        <v>3</v>
      </c>
      <c r="I18">
        <v>0</v>
      </c>
      <c r="J18">
        <v>1</v>
      </c>
      <c r="M18" s="7">
        <v>62542.74</v>
      </c>
      <c r="N18" s="7">
        <v>55967.19</v>
      </c>
      <c r="O18" s="7">
        <f t="shared" si="0"/>
        <v>11.748937189807096</v>
      </c>
      <c r="U18" s="4"/>
    </row>
    <row r="19" spans="1:21" x14ac:dyDescent="0.3">
      <c r="A19" s="4">
        <v>43983</v>
      </c>
      <c r="B19">
        <v>10681736</v>
      </c>
      <c r="C19">
        <f t="shared" si="1"/>
        <v>8.2214247648998207</v>
      </c>
      <c r="D19">
        <v>24788.63</v>
      </c>
      <c r="E19">
        <v>10.594405282412778</v>
      </c>
      <c r="F19">
        <v>133.69</v>
      </c>
      <c r="G19">
        <v>4</v>
      </c>
      <c r="H19">
        <v>3</v>
      </c>
      <c r="I19">
        <v>0</v>
      </c>
      <c r="J19">
        <v>0</v>
      </c>
      <c r="M19" s="7">
        <v>64559.46</v>
      </c>
      <c r="N19" s="7">
        <v>56474.76</v>
      </c>
      <c r="O19" s="7">
        <f t="shared" si="0"/>
        <v>14.315598685147135</v>
      </c>
      <c r="U19" s="4"/>
    </row>
    <row r="20" spans="1:21" x14ac:dyDescent="0.3">
      <c r="A20" s="4">
        <v>44013</v>
      </c>
      <c r="B20">
        <v>10739845</v>
      </c>
      <c r="C20">
        <f t="shared" si="1"/>
        <v>8.0072653533437297</v>
      </c>
      <c r="D20">
        <v>24903.81</v>
      </c>
      <c r="E20">
        <v>10.49698287336942</v>
      </c>
      <c r="F20">
        <v>149.74</v>
      </c>
      <c r="G20">
        <v>4</v>
      </c>
      <c r="H20">
        <v>3</v>
      </c>
      <c r="I20">
        <v>0</v>
      </c>
      <c r="J20">
        <v>0</v>
      </c>
      <c r="M20" s="7">
        <v>64864.18</v>
      </c>
      <c r="N20" s="7">
        <v>57348.56</v>
      </c>
      <c r="O20" s="7">
        <f t="shared" si="0"/>
        <v>13.10515904845737</v>
      </c>
      <c r="U20" s="4"/>
    </row>
    <row r="21" spans="1:21" x14ac:dyDescent="0.3">
      <c r="A21" s="4">
        <v>44044</v>
      </c>
      <c r="B21">
        <v>10793189</v>
      </c>
      <c r="C21">
        <f t="shared" si="1"/>
        <v>7.7319825332113679</v>
      </c>
      <c r="D21">
        <v>25312.34</v>
      </c>
      <c r="E21">
        <v>11.236629547272292</v>
      </c>
      <c r="F21">
        <v>161.88</v>
      </c>
      <c r="G21">
        <v>4</v>
      </c>
      <c r="H21">
        <v>3</v>
      </c>
      <c r="I21">
        <v>0</v>
      </c>
      <c r="J21">
        <v>0</v>
      </c>
      <c r="M21" s="7">
        <v>66482.5</v>
      </c>
      <c r="N21" s="7">
        <v>57948.66</v>
      </c>
      <c r="O21" s="7">
        <f t="shared" si="0"/>
        <v>14.726552779650115</v>
      </c>
      <c r="U21" s="4"/>
    </row>
    <row r="22" spans="1:21" x14ac:dyDescent="0.3">
      <c r="A22" s="4">
        <v>44075</v>
      </c>
      <c r="B22">
        <v>10803825</v>
      </c>
      <c r="C22">
        <f t="shared" si="1"/>
        <v>7.1823560142835419</v>
      </c>
      <c r="D22">
        <v>25481.13</v>
      </c>
      <c r="E22">
        <v>10.598542490440256</v>
      </c>
      <c r="F22">
        <v>180.02</v>
      </c>
      <c r="G22">
        <v>4</v>
      </c>
      <c r="H22">
        <v>3</v>
      </c>
      <c r="I22">
        <v>0</v>
      </c>
      <c r="J22">
        <v>0</v>
      </c>
      <c r="U22" s="4"/>
    </row>
    <row r="23" spans="1:21" x14ac:dyDescent="0.3">
      <c r="A23" s="4">
        <v>44105</v>
      </c>
      <c r="B23">
        <v>10909055</v>
      </c>
      <c r="C23">
        <f t="shared" si="1"/>
        <v>7.7133167605677011</v>
      </c>
      <c r="D23">
        <v>25717.119999999999</v>
      </c>
      <c r="E23">
        <v>9.1658194614534061</v>
      </c>
      <c r="F23">
        <v>207.16</v>
      </c>
      <c r="G23">
        <v>4</v>
      </c>
      <c r="H23">
        <v>3</v>
      </c>
      <c r="I23">
        <v>0</v>
      </c>
      <c r="J23">
        <v>0</v>
      </c>
      <c r="U23" s="4"/>
    </row>
    <row r="24" spans="1:21" x14ac:dyDescent="0.3">
      <c r="A24" s="4">
        <v>44136</v>
      </c>
      <c r="B24">
        <v>11119885</v>
      </c>
      <c r="C24">
        <f t="shared" si="1"/>
        <v>9.1244380818394699</v>
      </c>
      <c r="D24">
        <v>26114.92</v>
      </c>
      <c r="E24">
        <v>9.2818966859216534</v>
      </c>
      <c r="F24">
        <v>221.02</v>
      </c>
      <c r="G24">
        <v>4</v>
      </c>
      <c r="H24">
        <v>3</v>
      </c>
      <c r="I24">
        <v>0</v>
      </c>
      <c r="J24">
        <v>0</v>
      </c>
      <c r="U24" s="4"/>
    </row>
    <row r="25" spans="1:21" x14ac:dyDescent="0.3">
      <c r="A25" s="4">
        <v>44166</v>
      </c>
      <c r="B25">
        <v>11150000</v>
      </c>
      <c r="C25">
        <f t="shared" si="1"/>
        <v>8.6254131053687075</v>
      </c>
      <c r="D25">
        <v>26445.99</v>
      </c>
      <c r="E25">
        <v>9.9762091004245601</v>
      </c>
      <c r="F25">
        <v>223.42</v>
      </c>
      <c r="G25">
        <v>4</v>
      </c>
      <c r="H25">
        <v>3</v>
      </c>
      <c r="I25">
        <v>0</v>
      </c>
      <c r="J25">
        <v>0</v>
      </c>
      <c r="U25" s="4"/>
    </row>
    <row r="26" spans="1:21" x14ac:dyDescent="0.3">
      <c r="A26" s="4">
        <v>44197</v>
      </c>
      <c r="B26">
        <v>11179417</v>
      </c>
      <c r="C26">
        <f t="shared" si="1"/>
        <v>8.0978713858328213</v>
      </c>
      <c r="D26">
        <v>26634.39</v>
      </c>
      <c r="E26">
        <v>9.4587063891484746</v>
      </c>
      <c r="F26">
        <v>229.29</v>
      </c>
      <c r="G26">
        <v>4</v>
      </c>
      <c r="H26">
        <v>3</v>
      </c>
      <c r="I26">
        <v>0</v>
      </c>
      <c r="J26">
        <v>0</v>
      </c>
      <c r="U26" s="4"/>
    </row>
    <row r="27" spans="1:21" x14ac:dyDescent="0.3">
      <c r="A27" s="4">
        <v>44228</v>
      </c>
      <c r="B27">
        <v>11248719</v>
      </c>
      <c r="C27">
        <f t="shared" si="1"/>
        <v>7.8666466826941228</v>
      </c>
      <c r="D27">
        <v>27244.15</v>
      </c>
      <c r="E27">
        <v>9.0966062668935912</v>
      </c>
      <c r="F27">
        <v>230.27</v>
      </c>
      <c r="G27">
        <v>4</v>
      </c>
      <c r="H27">
        <v>3</v>
      </c>
      <c r="I27">
        <v>0</v>
      </c>
      <c r="J27">
        <v>0</v>
      </c>
      <c r="K27">
        <f>_xlfn.STDEV.S(C16:C27)</f>
        <v>0.59082242250528938</v>
      </c>
      <c r="U27" s="4"/>
    </row>
    <row r="28" spans="1:21" x14ac:dyDescent="0.3">
      <c r="A28" s="4">
        <v>44256</v>
      </c>
      <c r="B28">
        <v>11476283</v>
      </c>
      <c r="C28">
        <f t="shared" si="1"/>
        <v>9.1680545393042934</v>
      </c>
      <c r="D28">
        <v>27739.26</v>
      </c>
      <c r="E28">
        <v>9.5525327096492205</v>
      </c>
      <c r="F28">
        <v>273.17</v>
      </c>
      <c r="G28">
        <v>4</v>
      </c>
      <c r="H28">
        <v>3</v>
      </c>
      <c r="I28">
        <v>0</v>
      </c>
      <c r="J28">
        <v>0</v>
      </c>
      <c r="K28">
        <f t="shared" ref="K28:K86" si="2">_xlfn.STDEV.S(C17:C28)</f>
        <v>0.59538689030156511</v>
      </c>
      <c r="U28" s="4"/>
    </row>
    <row r="29" spans="1:21" x14ac:dyDescent="0.3">
      <c r="A29" s="4">
        <v>44287</v>
      </c>
      <c r="B29">
        <v>11574375</v>
      </c>
      <c r="C29">
        <f t="shared" si="1"/>
        <v>9.5106242868415514</v>
      </c>
      <c r="D29">
        <v>28135.13</v>
      </c>
      <c r="E29">
        <v>10.176053745772728</v>
      </c>
      <c r="F29">
        <v>264.11</v>
      </c>
      <c r="G29">
        <v>4</v>
      </c>
      <c r="H29">
        <v>3.5</v>
      </c>
      <c r="I29">
        <v>0</v>
      </c>
      <c r="J29">
        <v>0</v>
      </c>
      <c r="K29">
        <f t="shared" si="2"/>
        <v>0.69165598113147697</v>
      </c>
      <c r="U29" s="4"/>
    </row>
    <row r="30" spans="1:21" x14ac:dyDescent="0.3">
      <c r="A30" s="4">
        <v>44317</v>
      </c>
      <c r="B30">
        <v>11714619</v>
      </c>
      <c r="C30">
        <f t="shared" si="1"/>
        <v>10.20902765005356</v>
      </c>
      <c r="D30">
        <v>28104.19</v>
      </c>
      <c r="E30">
        <v>12.832389389555354</v>
      </c>
      <c r="F30">
        <v>252.92</v>
      </c>
      <c r="G30">
        <v>4</v>
      </c>
      <c r="H30">
        <v>3.5</v>
      </c>
      <c r="I30">
        <v>0</v>
      </c>
      <c r="J30">
        <v>0</v>
      </c>
      <c r="K30">
        <f t="shared" si="2"/>
        <v>0.88409097377122658</v>
      </c>
      <c r="U30" s="4"/>
    </row>
    <row r="31" spans="1:21" x14ac:dyDescent="0.3">
      <c r="A31" s="4">
        <v>44348</v>
      </c>
      <c r="B31">
        <v>11815112</v>
      </c>
      <c r="C31">
        <f t="shared" si="1"/>
        <v>10.610410143070382</v>
      </c>
      <c r="D31">
        <v>27872.6508722529</v>
      </c>
      <c r="E31">
        <v>12.441271955137889</v>
      </c>
      <c r="F31">
        <v>280.75</v>
      </c>
      <c r="G31">
        <v>4</v>
      </c>
      <c r="H31">
        <v>3.5</v>
      </c>
      <c r="I31">
        <v>0</v>
      </c>
      <c r="J31">
        <v>0</v>
      </c>
      <c r="K31">
        <f t="shared" si="2"/>
        <v>1.0750917601525471</v>
      </c>
      <c r="U31" s="4"/>
    </row>
    <row r="32" spans="1:21" x14ac:dyDescent="0.3">
      <c r="A32" s="4">
        <v>44378</v>
      </c>
      <c r="B32">
        <v>11884244</v>
      </c>
      <c r="C32">
        <f t="shared" si="1"/>
        <v>10.655637953806597</v>
      </c>
      <c r="D32">
        <v>27865.191117254901</v>
      </c>
      <c r="E32">
        <v>11.891277347742779</v>
      </c>
      <c r="F32">
        <v>324.55</v>
      </c>
      <c r="G32">
        <v>4</v>
      </c>
      <c r="H32">
        <v>3.5</v>
      </c>
      <c r="I32">
        <v>0</v>
      </c>
      <c r="J32">
        <v>0</v>
      </c>
      <c r="K32">
        <f t="shared" si="2"/>
        <v>1.1953738928724487</v>
      </c>
      <c r="U32" s="4"/>
    </row>
    <row r="33" spans="1:21" x14ac:dyDescent="0.3">
      <c r="A33" s="4">
        <v>44409</v>
      </c>
      <c r="B33">
        <v>11865401</v>
      </c>
      <c r="C33">
        <f t="shared" si="1"/>
        <v>9.9341538446144249</v>
      </c>
      <c r="D33">
        <v>28587.41</v>
      </c>
      <c r="E33">
        <v>12.938629933068224</v>
      </c>
      <c r="F33">
        <v>355.55</v>
      </c>
      <c r="G33">
        <v>4</v>
      </c>
      <c r="H33">
        <v>3.5</v>
      </c>
      <c r="I33">
        <v>0</v>
      </c>
      <c r="J33">
        <v>0</v>
      </c>
      <c r="K33">
        <f t="shared" si="2"/>
        <v>1.1728304311326683</v>
      </c>
      <c r="U33" s="4"/>
    </row>
    <row r="34" spans="1:21" x14ac:dyDescent="0.3">
      <c r="A34" s="4">
        <v>44440</v>
      </c>
      <c r="B34">
        <v>11969886</v>
      </c>
      <c r="C34">
        <f t="shared" si="1"/>
        <v>10.793038576615221</v>
      </c>
      <c r="D34">
        <v>28939.13</v>
      </c>
      <c r="E34">
        <v>13.570826725502361</v>
      </c>
      <c r="F34">
        <v>365.58</v>
      </c>
      <c r="G34">
        <v>4</v>
      </c>
      <c r="H34">
        <v>3.5</v>
      </c>
      <c r="I34">
        <v>0</v>
      </c>
      <c r="J34">
        <v>0</v>
      </c>
      <c r="K34">
        <f t="shared" si="2"/>
        <v>1.1092818780442055</v>
      </c>
      <c r="U34" s="4"/>
    </row>
    <row r="35" spans="1:21" x14ac:dyDescent="0.3">
      <c r="A35" s="4">
        <v>44470</v>
      </c>
      <c r="B35">
        <v>12251033</v>
      </c>
      <c r="C35">
        <f t="shared" si="1"/>
        <v>12.30150549245559</v>
      </c>
      <c r="D35">
        <v>29185.38</v>
      </c>
      <c r="E35">
        <v>13.486191299803419</v>
      </c>
      <c r="F35">
        <v>421.84</v>
      </c>
      <c r="G35">
        <v>4</v>
      </c>
      <c r="H35">
        <v>3.5</v>
      </c>
      <c r="I35">
        <v>0</v>
      </c>
      <c r="J35">
        <v>0</v>
      </c>
      <c r="K35">
        <f t="shared" si="2"/>
        <v>1.2696048299946912</v>
      </c>
      <c r="U35" s="4"/>
    </row>
    <row r="36" spans="1:21" x14ac:dyDescent="0.3">
      <c r="A36" s="4">
        <v>44501</v>
      </c>
      <c r="B36">
        <v>12433606</v>
      </c>
      <c r="C36">
        <f t="shared" si="1"/>
        <v>11.814159948596581</v>
      </c>
      <c r="D36">
        <v>29555.99</v>
      </c>
      <c r="E36">
        <v>13.176643849569537</v>
      </c>
      <c r="F36">
        <v>418.65</v>
      </c>
      <c r="G36">
        <v>4</v>
      </c>
      <c r="H36">
        <v>3.5</v>
      </c>
      <c r="I36">
        <v>0</v>
      </c>
      <c r="J36">
        <v>0</v>
      </c>
      <c r="K36">
        <f t="shared" si="2"/>
        <v>1.3831340917573447</v>
      </c>
      <c r="U36" s="4"/>
    </row>
    <row r="37" spans="1:21" x14ac:dyDescent="0.3">
      <c r="A37" s="4">
        <v>44531</v>
      </c>
      <c r="B37">
        <v>12609666</v>
      </c>
      <c r="C37">
        <f t="shared" si="1"/>
        <v>13.091174887892375</v>
      </c>
      <c r="D37">
        <v>29854.3</v>
      </c>
      <c r="E37">
        <v>12.887813993728336</v>
      </c>
      <c r="F37">
        <v>456.63</v>
      </c>
      <c r="G37">
        <v>4</v>
      </c>
      <c r="H37">
        <v>3.5</v>
      </c>
      <c r="I37">
        <v>0</v>
      </c>
      <c r="J37">
        <v>0</v>
      </c>
      <c r="K37">
        <f t="shared" si="2"/>
        <v>1.5769748387764837</v>
      </c>
      <c r="U37" s="4"/>
    </row>
    <row r="38" spans="1:21" x14ac:dyDescent="0.3">
      <c r="A38" s="4">
        <v>44562</v>
      </c>
      <c r="B38">
        <v>12747773</v>
      </c>
      <c r="C38">
        <f t="shared" si="1"/>
        <v>14.028960544185809</v>
      </c>
      <c r="D38">
        <v>30878.45</v>
      </c>
      <c r="E38">
        <v>15.934511734640822</v>
      </c>
      <c r="F38">
        <v>461.72</v>
      </c>
      <c r="G38">
        <v>4</v>
      </c>
      <c r="H38">
        <v>3.5</v>
      </c>
      <c r="I38">
        <v>0</v>
      </c>
      <c r="J38">
        <v>0</v>
      </c>
      <c r="K38">
        <f t="shared" si="2"/>
        <v>1.73290420670134</v>
      </c>
      <c r="U38" s="4"/>
    </row>
    <row r="39" spans="1:21" x14ac:dyDescent="0.3">
      <c r="A39" s="4">
        <v>44593</v>
      </c>
      <c r="B39">
        <v>12867929</v>
      </c>
      <c r="C39">
        <f t="shared" si="1"/>
        <v>14.394616844815843</v>
      </c>
      <c r="D39">
        <v>31804.77</v>
      </c>
      <c r="E39">
        <v>16.739813868298327</v>
      </c>
      <c r="F39">
        <v>452.75</v>
      </c>
      <c r="G39">
        <v>4</v>
      </c>
      <c r="H39">
        <v>3.5</v>
      </c>
      <c r="I39">
        <v>0</v>
      </c>
      <c r="J39">
        <v>0</v>
      </c>
      <c r="K39">
        <f t="shared" si="2"/>
        <v>1.7420182798886439</v>
      </c>
      <c r="U39" s="4"/>
    </row>
    <row r="40" spans="1:21" x14ac:dyDescent="0.3">
      <c r="A40" s="4">
        <v>44621</v>
      </c>
      <c r="B40">
        <v>13110013</v>
      </c>
      <c r="C40">
        <f t="shared" si="1"/>
        <v>14.235706805069203</v>
      </c>
      <c r="D40">
        <v>33066.5</v>
      </c>
      <c r="E40">
        <v>19.204693996883847</v>
      </c>
      <c r="F40">
        <v>540.57000000000005</v>
      </c>
      <c r="G40">
        <v>4</v>
      </c>
      <c r="H40">
        <v>4</v>
      </c>
      <c r="I40">
        <v>0</v>
      </c>
      <c r="J40">
        <v>0</v>
      </c>
      <c r="K40">
        <f t="shared" si="2"/>
        <v>1.77211351373935</v>
      </c>
      <c r="U40" s="4"/>
    </row>
    <row r="41" spans="1:21" x14ac:dyDescent="0.3">
      <c r="A41" s="4">
        <v>44652</v>
      </c>
      <c r="B41">
        <v>13173772</v>
      </c>
      <c r="C41">
        <f t="shared" si="1"/>
        <v>13.818430800799186</v>
      </c>
      <c r="D41">
        <v>33748.76</v>
      </c>
      <c r="E41">
        <v>19.952386926948627</v>
      </c>
      <c r="F41">
        <v>558.44000000000005</v>
      </c>
      <c r="G41">
        <v>4.4000000000000004</v>
      </c>
      <c r="H41">
        <v>4</v>
      </c>
      <c r="I41">
        <v>0</v>
      </c>
      <c r="J41">
        <v>0</v>
      </c>
      <c r="K41">
        <f t="shared" si="2"/>
        <v>1.7014887373323493</v>
      </c>
      <c r="U41" s="4"/>
    </row>
    <row r="42" spans="1:21" x14ac:dyDescent="0.3">
      <c r="A42" s="4">
        <v>44682</v>
      </c>
      <c r="B42">
        <v>13405062</v>
      </c>
      <c r="C42">
        <f t="shared" si="1"/>
        <v>14.430200418810045</v>
      </c>
      <c r="D42">
        <v>34429.93</v>
      </c>
      <c r="E42">
        <v>22.508174048068994</v>
      </c>
      <c r="F42">
        <v>594.63</v>
      </c>
      <c r="G42">
        <v>4.4000000000000004</v>
      </c>
      <c r="H42">
        <v>4</v>
      </c>
      <c r="I42">
        <v>0</v>
      </c>
      <c r="J42">
        <v>0</v>
      </c>
      <c r="K42">
        <f t="shared" si="2"/>
        <v>1.6984405232358482</v>
      </c>
      <c r="U42" s="4"/>
    </row>
    <row r="43" spans="1:21" x14ac:dyDescent="0.3">
      <c r="A43" s="4">
        <v>44713</v>
      </c>
      <c r="B43">
        <v>13681526</v>
      </c>
      <c r="C43">
        <f t="shared" si="1"/>
        <v>15.796837135356823</v>
      </c>
      <c r="D43">
        <v>34678.120000000003</v>
      </c>
      <c r="E43">
        <v>24.416296673532113</v>
      </c>
      <c r="F43">
        <v>586.29</v>
      </c>
      <c r="G43">
        <v>4.9000000000000004</v>
      </c>
      <c r="H43">
        <v>4.5</v>
      </c>
      <c r="I43">
        <v>0</v>
      </c>
      <c r="J43">
        <v>0</v>
      </c>
      <c r="K43">
        <f t="shared" si="2"/>
        <v>1.8264558259225088</v>
      </c>
      <c r="U43" s="4"/>
    </row>
    <row r="44" spans="1:21" x14ac:dyDescent="0.3">
      <c r="A44" s="4">
        <v>44743</v>
      </c>
      <c r="B44">
        <v>13978144</v>
      </c>
      <c r="C44">
        <f t="shared" si="1"/>
        <v>17.61912663523233</v>
      </c>
      <c r="D44">
        <v>35200.624602215001</v>
      </c>
      <c r="E44">
        <v>26.324719805771558</v>
      </c>
      <c r="F44">
        <v>628.92999999999995</v>
      </c>
      <c r="G44">
        <v>4.9000000000000004</v>
      </c>
      <c r="H44">
        <v>4.5</v>
      </c>
      <c r="I44">
        <v>0</v>
      </c>
      <c r="J44">
        <v>0</v>
      </c>
      <c r="K44">
        <f t="shared" si="2"/>
        <v>2.1173241816115866</v>
      </c>
      <c r="U44" s="4"/>
    </row>
    <row r="45" spans="1:21" x14ac:dyDescent="0.3">
      <c r="A45" s="4">
        <v>44774</v>
      </c>
      <c r="B45">
        <v>14112173</v>
      </c>
      <c r="C45">
        <f t="shared" si="1"/>
        <v>18.935491518575741</v>
      </c>
      <c r="D45">
        <v>35940.160000000003</v>
      </c>
      <c r="E45">
        <v>25.720238384659556</v>
      </c>
      <c r="F45">
        <v>658.19</v>
      </c>
      <c r="G45">
        <v>5.4</v>
      </c>
      <c r="H45">
        <v>4.5</v>
      </c>
      <c r="I45">
        <v>0</v>
      </c>
      <c r="J45">
        <v>0</v>
      </c>
      <c r="K45">
        <f t="shared" si="2"/>
        <v>2.3160321824772292</v>
      </c>
      <c r="U45" s="4"/>
    </row>
    <row r="46" spans="1:21" x14ac:dyDescent="0.3">
      <c r="A46" s="4">
        <v>44805</v>
      </c>
      <c r="B46">
        <v>14246529</v>
      </c>
      <c r="C46">
        <f t="shared" si="1"/>
        <v>19.019755075361623</v>
      </c>
      <c r="D46">
        <v>36479.06</v>
      </c>
      <c r="E46">
        <v>26.054446004423749</v>
      </c>
      <c r="F46">
        <v>678.08</v>
      </c>
      <c r="G46">
        <v>5.9</v>
      </c>
      <c r="H46">
        <v>4.5</v>
      </c>
      <c r="I46">
        <v>0</v>
      </c>
      <c r="J46">
        <v>0</v>
      </c>
      <c r="K46">
        <f t="shared" si="2"/>
        <v>2.408482536875646</v>
      </c>
      <c r="U46" s="4"/>
    </row>
    <row r="47" spans="1:21" x14ac:dyDescent="0.3">
      <c r="A47" s="4">
        <v>44835</v>
      </c>
      <c r="B47">
        <v>14464360</v>
      </c>
      <c r="C47">
        <f t="shared" si="1"/>
        <v>18.066452028984003</v>
      </c>
      <c r="D47">
        <v>37020.06</v>
      </c>
      <c r="E47">
        <v>26.844536545352483</v>
      </c>
      <c r="F47">
        <v>730.54</v>
      </c>
      <c r="G47">
        <v>5.9</v>
      </c>
      <c r="H47">
        <v>4.5</v>
      </c>
      <c r="I47">
        <v>0</v>
      </c>
      <c r="J47">
        <v>0</v>
      </c>
      <c r="K47">
        <f t="shared" si="2"/>
        <v>2.4055668482970445</v>
      </c>
      <c r="U47" s="4"/>
    </row>
    <row r="48" spans="1:21" x14ac:dyDescent="0.3">
      <c r="A48" s="4">
        <v>44866</v>
      </c>
      <c r="B48">
        <v>14720139</v>
      </c>
      <c r="C48">
        <f t="shared" ref="C48:C79" si="3">(B48/B36-1)*100</f>
        <v>18.389942547640636</v>
      </c>
      <c r="D48">
        <v>37702.85</v>
      </c>
      <c r="E48">
        <v>27.564158737365908</v>
      </c>
      <c r="F48">
        <v>730.94</v>
      </c>
      <c r="G48">
        <v>5.9</v>
      </c>
      <c r="H48">
        <v>4.5</v>
      </c>
      <c r="I48">
        <v>0</v>
      </c>
      <c r="J48">
        <v>0</v>
      </c>
      <c r="K48">
        <f t="shared" si="2"/>
        <v>2.2490035043831282</v>
      </c>
      <c r="U48" s="4"/>
    </row>
    <row r="49" spans="1:21" x14ac:dyDescent="0.3">
      <c r="A49" s="4">
        <v>44896</v>
      </c>
      <c r="B49">
        <v>14999993</v>
      </c>
      <c r="C49">
        <f t="shared" si="3"/>
        <v>18.956307010828045</v>
      </c>
      <c r="D49">
        <v>38003.300000000003</v>
      </c>
      <c r="E49">
        <v>27.295900423054654</v>
      </c>
      <c r="F49">
        <v>782.89</v>
      </c>
      <c r="G49">
        <v>6.25</v>
      </c>
      <c r="H49">
        <v>4.5</v>
      </c>
      <c r="I49">
        <v>0</v>
      </c>
      <c r="J49">
        <v>0</v>
      </c>
      <c r="K49">
        <f t="shared" si="2"/>
        <v>2.1995750274317403</v>
      </c>
      <c r="U49" s="4"/>
    </row>
    <row r="50" spans="1:21" x14ac:dyDescent="0.3">
      <c r="A50" s="4">
        <v>44927</v>
      </c>
      <c r="B50">
        <v>15114575</v>
      </c>
      <c r="C50">
        <f t="shared" si="3"/>
        <v>18.566395871655384</v>
      </c>
      <c r="D50">
        <v>39351.440000000002</v>
      </c>
      <c r="E50">
        <v>27.439816441563615</v>
      </c>
      <c r="F50">
        <v>803.86</v>
      </c>
      <c r="G50">
        <v>6.25</v>
      </c>
      <c r="H50">
        <v>4.5</v>
      </c>
      <c r="I50">
        <v>0</v>
      </c>
      <c r="J50">
        <v>0</v>
      </c>
      <c r="K50">
        <f t="shared" si="2"/>
        <v>2.1298900563659964</v>
      </c>
      <c r="U50" s="4"/>
    </row>
    <row r="51" spans="1:21" x14ac:dyDescent="0.3">
      <c r="A51" s="4">
        <v>44958</v>
      </c>
      <c r="B51">
        <v>15309031</v>
      </c>
      <c r="C51">
        <f t="shared" si="3"/>
        <v>18.970434170098383</v>
      </c>
      <c r="D51">
        <v>39588.74</v>
      </c>
      <c r="E51">
        <v>24.474221948468731</v>
      </c>
      <c r="F51">
        <v>753.48</v>
      </c>
      <c r="G51">
        <v>6.5</v>
      </c>
      <c r="H51">
        <v>4.5</v>
      </c>
      <c r="I51">
        <v>0</v>
      </c>
      <c r="J51">
        <v>0</v>
      </c>
      <c r="K51">
        <f t="shared" si="2"/>
        <v>2.0582632572883743</v>
      </c>
      <c r="U51" s="4"/>
    </row>
    <row r="52" spans="1:21" x14ac:dyDescent="0.3">
      <c r="A52" s="4">
        <v>44986</v>
      </c>
      <c r="B52">
        <v>15545198</v>
      </c>
      <c r="C52">
        <f t="shared" si="3"/>
        <v>18.57500065026634</v>
      </c>
      <c r="D52">
        <v>40132.99</v>
      </c>
      <c r="E52">
        <v>21.370541182163215</v>
      </c>
      <c r="F52">
        <v>865.16</v>
      </c>
      <c r="G52">
        <v>6.5</v>
      </c>
      <c r="H52">
        <v>4.5</v>
      </c>
      <c r="I52">
        <v>0</v>
      </c>
      <c r="J52">
        <v>0</v>
      </c>
      <c r="K52">
        <f t="shared" si="2"/>
        <v>1.8547833455287535</v>
      </c>
      <c r="U52" s="4"/>
    </row>
    <row r="53" spans="1:21" x14ac:dyDescent="0.3">
      <c r="A53" s="4">
        <v>45017</v>
      </c>
      <c r="B53">
        <v>15701344</v>
      </c>
      <c r="C53">
        <f t="shared" si="3"/>
        <v>19.186395513752629</v>
      </c>
      <c r="D53">
        <v>40851.68</v>
      </c>
      <c r="E53">
        <v>21.046462151498304</v>
      </c>
      <c r="F53">
        <v>886.33</v>
      </c>
      <c r="G53">
        <v>6.5</v>
      </c>
      <c r="H53">
        <v>4.5</v>
      </c>
      <c r="I53">
        <v>0</v>
      </c>
      <c r="J53">
        <v>0</v>
      </c>
      <c r="K53">
        <f t="shared" si="2"/>
        <v>1.4680640227757469</v>
      </c>
      <c r="U53" s="4"/>
    </row>
    <row r="54" spans="1:21" x14ac:dyDescent="0.3">
      <c r="A54" s="4">
        <v>45047</v>
      </c>
      <c r="B54">
        <v>15749514</v>
      </c>
      <c r="C54">
        <f t="shared" si="3"/>
        <v>17.489303667524993</v>
      </c>
      <c r="D54">
        <v>41195.919999999998</v>
      </c>
      <c r="E54">
        <v>19.65147765330919</v>
      </c>
      <c r="F54">
        <v>941.52</v>
      </c>
      <c r="G54">
        <v>6.5</v>
      </c>
      <c r="H54">
        <v>4.5</v>
      </c>
      <c r="I54">
        <v>0</v>
      </c>
      <c r="J54">
        <v>0</v>
      </c>
      <c r="K54">
        <f t="shared" si="2"/>
        <v>0.96217625460901368</v>
      </c>
      <c r="U54" s="4"/>
    </row>
    <row r="55" spans="1:21" x14ac:dyDescent="0.3">
      <c r="A55" s="4">
        <v>45078</v>
      </c>
      <c r="B55">
        <v>16206672</v>
      </c>
      <c r="C55">
        <f t="shared" si="3"/>
        <v>18.456610761109538</v>
      </c>
      <c r="D55">
        <v>41378.21</v>
      </c>
      <c r="E55">
        <v>19.320799397429834</v>
      </c>
      <c r="F55">
        <v>933.51</v>
      </c>
      <c r="G55">
        <v>6.5</v>
      </c>
      <c r="H55">
        <v>4.5</v>
      </c>
      <c r="I55">
        <v>1</v>
      </c>
      <c r="J55">
        <v>0</v>
      </c>
      <c r="K55">
        <f t="shared" si="2"/>
        <v>0.55312697315942627</v>
      </c>
      <c r="U55" s="4"/>
    </row>
    <row r="56" spans="1:21" x14ac:dyDescent="0.3">
      <c r="A56" s="4">
        <v>45108</v>
      </c>
      <c r="B56">
        <v>16663977</v>
      </c>
      <c r="C56">
        <f t="shared" si="3"/>
        <v>19.214518036157013</v>
      </c>
      <c r="D56">
        <v>42609.84</v>
      </c>
      <c r="E56">
        <v>21.048533886863964</v>
      </c>
      <c r="F56">
        <v>996.43</v>
      </c>
      <c r="G56">
        <v>6.5</v>
      </c>
      <c r="H56">
        <v>4.5</v>
      </c>
      <c r="I56">
        <v>1</v>
      </c>
      <c r="J56">
        <v>0</v>
      </c>
      <c r="K56">
        <f t="shared" si="2"/>
        <v>0.50690290189726195</v>
      </c>
      <c r="U56" s="4"/>
    </row>
    <row r="57" spans="1:21" x14ac:dyDescent="0.3">
      <c r="A57" s="4">
        <v>45139</v>
      </c>
      <c r="B57">
        <v>16773541</v>
      </c>
      <c r="C57">
        <f t="shared" si="3"/>
        <v>18.858669037007971</v>
      </c>
      <c r="D57">
        <v>47318.33</v>
      </c>
      <c r="E57">
        <v>31.65865149181306</v>
      </c>
      <c r="F57">
        <v>1055.56</v>
      </c>
      <c r="G57">
        <v>6.5</v>
      </c>
      <c r="H57">
        <v>4.5</v>
      </c>
      <c r="I57">
        <v>1</v>
      </c>
      <c r="J57">
        <v>0</v>
      </c>
      <c r="K57">
        <f t="shared" si="2"/>
        <v>0.50347359693257321</v>
      </c>
      <c r="U57" s="4"/>
    </row>
    <row r="58" spans="1:21" x14ac:dyDescent="0.3">
      <c r="A58" s="4">
        <v>45170</v>
      </c>
      <c r="B58">
        <v>16983073</v>
      </c>
      <c r="C58">
        <f t="shared" si="3"/>
        <v>19.20849632917605</v>
      </c>
      <c r="D58">
        <v>39432.199999999997</v>
      </c>
      <c r="E58">
        <v>8.0954388627338503</v>
      </c>
      <c r="F58">
        <v>1058.5999999999999</v>
      </c>
      <c r="G58">
        <v>6.5</v>
      </c>
      <c r="H58">
        <v>4.5</v>
      </c>
      <c r="I58">
        <v>1</v>
      </c>
      <c r="J58">
        <v>0</v>
      </c>
      <c r="K58">
        <f t="shared" si="2"/>
        <v>0.51892832282935253</v>
      </c>
      <c r="U58" s="4"/>
    </row>
    <row r="59" spans="1:21" x14ac:dyDescent="0.3">
      <c r="A59" s="4">
        <v>45200</v>
      </c>
      <c r="B59">
        <v>17297128</v>
      </c>
      <c r="C59">
        <f t="shared" si="3"/>
        <v>19.584468306928194</v>
      </c>
      <c r="D59">
        <v>48268.33</v>
      </c>
      <c r="E59">
        <v>30.384256535510758</v>
      </c>
      <c r="F59">
        <v>1140.8800000000001</v>
      </c>
      <c r="G59">
        <v>6.5</v>
      </c>
      <c r="H59">
        <v>4.5</v>
      </c>
      <c r="I59">
        <v>1</v>
      </c>
      <c r="J59">
        <v>0</v>
      </c>
      <c r="K59">
        <f t="shared" si="2"/>
        <v>0.54504186258506371</v>
      </c>
      <c r="U59" s="4"/>
    </row>
    <row r="60" spans="1:21" x14ac:dyDescent="0.3">
      <c r="A60" s="4">
        <v>45231</v>
      </c>
      <c r="B60">
        <v>17479199</v>
      </c>
      <c r="C60">
        <f t="shared" si="3"/>
        <v>18.74343713738029</v>
      </c>
      <c r="D60">
        <v>49993.49</v>
      </c>
      <c r="E60">
        <v>32.598702750587826</v>
      </c>
      <c r="F60">
        <v>1123.53</v>
      </c>
      <c r="G60">
        <v>6.5</v>
      </c>
      <c r="H60">
        <v>4.5</v>
      </c>
      <c r="I60">
        <v>1</v>
      </c>
      <c r="J60">
        <v>0</v>
      </c>
      <c r="K60">
        <f t="shared" si="2"/>
        <v>0.5309398130894023</v>
      </c>
      <c r="U60" s="4"/>
    </row>
    <row r="61" spans="1:21" x14ac:dyDescent="0.3">
      <c r="A61" s="4">
        <v>45261</v>
      </c>
      <c r="B61">
        <v>17797714</v>
      </c>
      <c r="C61">
        <f t="shared" si="3"/>
        <v>18.651482037358292</v>
      </c>
      <c r="D61">
        <v>50565.24</v>
      </c>
      <c r="E61">
        <v>33.054866287927624</v>
      </c>
      <c r="F61">
        <v>1202.02</v>
      </c>
      <c r="G61">
        <v>6.5</v>
      </c>
      <c r="H61">
        <v>4.5</v>
      </c>
      <c r="I61">
        <v>1</v>
      </c>
      <c r="J61">
        <v>0</v>
      </c>
      <c r="K61">
        <f t="shared" si="2"/>
        <v>0.53098717492281144</v>
      </c>
      <c r="U61" s="4"/>
    </row>
    <row r="62" spans="1:21" x14ac:dyDescent="0.3">
      <c r="A62" s="4">
        <v>45292</v>
      </c>
      <c r="B62">
        <v>17898476</v>
      </c>
      <c r="C62">
        <f t="shared" si="3"/>
        <v>18.418652194983977</v>
      </c>
      <c r="D62">
        <v>51754.23</v>
      </c>
      <c r="E62">
        <v>31.518007981410602</v>
      </c>
      <c r="F62">
        <v>1220.3</v>
      </c>
      <c r="G62">
        <v>6.5</v>
      </c>
      <c r="H62">
        <v>4.5</v>
      </c>
      <c r="I62">
        <v>1</v>
      </c>
      <c r="J62">
        <v>0</v>
      </c>
      <c r="K62">
        <f t="shared" si="2"/>
        <v>0.53835805559290784</v>
      </c>
      <c r="U62" s="4"/>
    </row>
    <row r="63" spans="1:21" x14ac:dyDescent="0.3">
      <c r="A63" s="4">
        <v>45323</v>
      </c>
      <c r="B63">
        <v>18093875</v>
      </c>
      <c r="C63">
        <f t="shared" si="3"/>
        <v>18.190857409590457</v>
      </c>
      <c r="D63">
        <v>52179.44</v>
      </c>
      <c r="E63">
        <v>31.803740154397442</v>
      </c>
      <c r="F63">
        <v>1210.27</v>
      </c>
      <c r="G63">
        <v>6.5</v>
      </c>
      <c r="H63">
        <v>4.5</v>
      </c>
      <c r="I63">
        <v>1</v>
      </c>
      <c r="J63">
        <v>0</v>
      </c>
      <c r="K63">
        <f t="shared" si="2"/>
        <v>0.5598679372839297</v>
      </c>
      <c r="U63" s="4"/>
    </row>
    <row r="64" spans="1:21" x14ac:dyDescent="0.3">
      <c r="A64" s="4">
        <v>45352</v>
      </c>
      <c r="B64">
        <v>18312122</v>
      </c>
      <c r="C64">
        <f t="shared" si="3"/>
        <v>17.799220054964881</v>
      </c>
      <c r="D64">
        <v>52677.84</v>
      </c>
      <c r="E64">
        <v>31.258199301871102</v>
      </c>
      <c r="F64">
        <v>1344</v>
      </c>
      <c r="G64">
        <v>6.5</v>
      </c>
      <c r="H64">
        <v>4.5</v>
      </c>
      <c r="I64">
        <v>1</v>
      </c>
      <c r="J64">
        <v>0</v>
      </c>
      <c r="K64">
        <f t="shared" si="2"/>
        <v>0.61913433933688089</v>
      </c>
      <c r="U64" s="4"/>
    </row>
    <row r="65" spans="1:21" x14ac:dyDescent="0.3">
      <c r="A65" s="4">
        <v>45383</v>
      </c>
      <c r="B65">
        <v>18345395</v>
      </c>
      <c r="C65">
        <f t="shared" si="3"/>
        <v>16.839647612331788</v>
      </c>
      <c r="D65">
        <v>53361.29</v>
      </c>
      <c r="E65">
        <v>30.622020930350978</v>
      </c>
      <c r="F65">
        <v>1330.4</v>
      </c>
      <c r="G65">
        <v>6.5</v>
      </c>
      <c r="H65">
        <v>4.5</v>
      </c>
      <c r="I65">
        <v>1</v>
      </c>
      <c r="J65">
        <v>0</v>
      </c>
      <c r="K65">
        <f t="shared" si="2"/>
        <v>0.78324187828964542</v>
      </c>
      <c r="U65" s="4"/>
    </row>
    <row r="66" spans="1:21" x14ac:dyDescent="0.3">
      <c r="A66" s="4">
        <v>45413</v>
      </c>
      <c r="B66">
        <v>18669283</v>
      </c>
      <c r="C66">
        <f t="shared" si="3"/>
        <v>18.53878792704333</v>
      </c>
      <c r="D66">
        <v>53628.59</v>
      </c>
      <c r="E66">
        <v>30.179372131997528</v>
      </c>
      <c r="F66">
        <v>1403.58</v>
      </c>
      <c r="G66">
        <v>6.5</v>
      </c>
      <c r="H66">
        <v>4.5</v>
      </c>
      <c r="I66">
        <v>1</v>
      </c>
      <c r="J66">
        <v>0</v>
      </c>
      <c r="K66">
        <f t="shared" si="2"/>
        <v>0.72184256849762618</v>
      </c>
      <c r="U66" s="4"/>
    </row>
    <row r="67" spans="1:21" x14ac:dyDescent="0.3">
      <c r="A67" s="4">
        <v>45444</v>
      </c>
      <c r="B67">
        <v>19097244</v>
      </c>
      <c r="C67">
        <f t="shared" si="3"/>
        <v>17.835691374515395</v>
      </c>
      <c r="D67">
        <v>54566.33</v>
      </c>
      <c r="E67">
        <v>31.872137533257238</v>
      </c>
      <c r="F67">
        <v>1388.51</v>
      </c>
      <c r="G67">
        <v>6.5</v>
      </c>
      <c r="H67">
        <v>4.5</v>
      </c>
      <c r="I67">
        <v>1</v>
      </c>
      <c r="J67">
        <v>0</v>
      </c>
      <c r="K67">
        <f t="shared" si="2"/>
        <v>0.75022199216988328</v>
      </c>
      <c r="U67" s="4"/>
    </row>
    <row r="68" spans="1:21" x14ac:dyDescent="0.3">
      <c r="A68" s="4">
        <v>45474</v>
      </c>
      <c r="B68">
        <v>18706750</v>
      </c>
      <c r="C68">
        <f t="shared" si="3"/>
        <v>12.25861629549776</v>
      </c>
      <c r="D68">
        <v>54861.07</v>
      </c>
      <c r="E68">
        <v>28.752114535046381</v>
      </c>
      <c r="F68">
        <v>1443.55</v>
      </c>
      <c r="G68">
        <v>6.5</v>
      </c>
      <c r="H68">
        <v>4.5</v>
      </c>
      <c r="I68">
        <v>1</v>
      </c>
      <c r="J68">
        <v>0</v>
      </c>
      <c r="K68">
        <f t="shared" si="2"/>
        <v>1.9180692387280747</v>
      </c>
      <c r="U68" s="4"/>
    </row>
    <row r="69" spans="1:21" x14ac:dyDescent="0.3">
      <c r="A69" s="4">
        <v>45505</v>
      </c>
      <c r="B69">
        <v>18875973</v>
      </c>
      <c r="C69">
        <f t="shared" si="3"/>
        <v>12.534216835908406</v>
      </c>
      <c r="D69">
        <v>55298.15</v>
      </c>
      <c r="E69">
        <v>16.864120098913048</v>
      </c>
      <c r="F69">
        <v>1496.3</v>
      </c>
      <c r="G69">
        <v>6.5</v>
      </c>
      <c r="H69">
        <v>4.5</v>
      </c>
      <c r="I69">
        <v>1</v>
      </c>
      <c r="J69">
        <v>0</v>
      </c>
      <c r="K69">
        <f t="shared" si="2"/>
        <v>2.4335382472481517</v>
      </c>
      <c r="U69" s="4"/>
    </row>
    <row r="70" spans="1:21" x14ac:dyDescent="0.3">
      <c r="A70" s="4">
        <v>45536</v>
      </c>
      <c r="B70">
        <v>19066853</v>
      </c>
      <c r="C70">
        <f t="shared" si="3"/>
        <v>12.269746470500365</v>
      </c>
      <c r="D70">
        <v>55554.84</v>
      </c>
      <c r="E70">
        <v>40.886990834901439</v>
      </c>
      <c r="F70">
        <v>1504.17</v>
      </c>
      <c r="G70">
        <v>6.5</v>
      </c>
      <c r="H70">
        <v>4.5</v>
      </c>
      <c r="I70">
        <v>1</v>
      </c>
      <c r="J70">
        <v>0</v>
      </c>
      <c r="K70">
        <f t="shared" si="2"/>
        <v>2.7626187873512795</v>
      </c>
      <c r="U70" s="4"/>
    </row>
    <row r="71" spans="1:21" x14ac:dyDescent="0.3">
      <c r="A71" s="4">
        <v>45566</v>
      </c>
      <c r="B71">
        <v>19188801</v>
      </c>
      <c r="C71">
        <f t="shared" si="3"/>
        <v>10.93634157069312</v>
      </c>
      <c r="D71">
        <v>55967.19</v>
      </c>
      <c r="E71">
        <v>15.950127133049774</v>
      </c>
      <c r="F71">
        <v>1658.5</v>
      </c>
      <c r="G71">
        <v>6.5</v>
      </c>
      <c r="H71">
        <v>4.5</v>
      </c>
      <c r="I71">
        <v>1</v>
      </c>
      <c r="J71">
        <v>0</v>
      </c>
      <c r="K71">
        <f t="shared" si="2"/>
        <v>3.0813639319571111</v>
      </c>
      <c r="U71" s="4"/>
    </row>
    <row r="72" spans="1:21" x14ac:dyDescent="0.3">
      <c r="A72" s="4">
        <v>45597</v>
      </c>
      <c r="B72">
        <v>19479816</v>
      </c>
      <c r="C72">
        <f t="shared" si="3"/>
        <v>11.445701831073606</v>
      </c>
      <c r="D72">
        <v>56474.76</v>
      </c>
      <c r="E72">
        <v>12.964227942478113</v>
      </c>
      <c r="F72">
        <v>1548.2</v>
      </c>
      <c r="G72">
        <v>6.5</v>
      </c>
      <c r="H72">
        <v>4.5</v>
      </c>
      <c r="I72">
        <v>1</v>
      </c>
      <c r="J72">
        <v>0</v>
      </c>
      <c r="K72">
        <f t="shared" si="2"/>
        <v>3.2256999817737335</v>
      </c>
      <c r="U72" s="4"/>
    </row>
    <row r="73" spans="1:21" x14ac:dyDescent="0.3">
      <c r="A73" s="4">
        <v>45627</v>
      </c>
      <c r="B73">
        <v>19689731</v>
      </c>
      <c r="C73">
        <f t="shared" si="3"/>
        <v>10.63067425400812</v>
      </c>
      <c r="D73">
        <v>57348.56</v>
      </c>
      <c r="E73">
        <v>13.414986263290739</v>
      </c>
      <c r="F73">
        <v>1673</v>
      </c>
      <c r="G73">
        <v>6.5</v>
      </c>
      <c r="H73">
        <v>4.5</v>
      </c>
      <c r="I73">
        <v>1</v>
      </c>
      <c r="J73">
        <v>0</v>
      </c>
      <c r="K73">
        <f t="shared" si="2"/>
        <v>3.3370949898241973</v>
      </c>
      <c r="U73" s="4"/>
    </row>
    <row r="74" spans="1:21" x14ac:dyDescent="0.3">
      <c r="A74" s="4">
        <v>45658</v>
      </c>
      <c r="B74">
        <v>19886738</v>
      </c>
      <c r="C74">
        <f t="shared" si="3"/>
        <v>11.108554717172559</v>
      </c>
      <c r="D74">
        <v>57948.66</v>
      </c>
      <c r="E74">
        <v>11.968934713162582</v>
      </c>
      <c r="F74">
        <v>1699.6</v>
      </c>
      <c r="G74">
        <v>6.5</v>
      </c>
      <c r="H74">
        <v>4.5</v>
      </c>
      <c r="I74">
        <v>1</v>
      </c>
      <c r="J74">
        <v>0</v>
      </c>
      <c r="K74">
        <f t="shared" si="2"/>
        <v>3.2849078558314542</v>
      </c>
      <c r="U74" s="4"/>
    </row>
    <row r="75" spans="1:21" x14ac:dyDescent="0.3">
      <c r="A75" s="4">
        <v>45689</v>
      </c>
      <c r="B75">
        <v>20020836</v>
      </c>
      <c r="C75">
        <f t="shared" si="3"/>
        <v>10.649797238015623</v>
      </c>
      <c r="D75">
        <v>58315.47</v>
      </c>
      <c r="E75">
        <v>11.759478445916628</v>
      </c>
      <c r="F75">
        <v>1610.62</v>
      </c>
      <c r="G75">
        <v>6.5</v>
      </c>
      <c r="H75">
        <v>4.25</v>
      </c>
      <c r="I75">
        <v>1</v>
      </c>
      <c r="J75">
        <v>0</v>
      </c>
      <c r="K75">
        <f t="shared" si="2"/>
        <v>3.1711746550264737</v>
      </c>
      <c r="U75" s="4"/>
    </row>
    <row r="76" spans="1:21" x14ac:dyDescent="0.3">
      <c r="A76" s="4">
        <v>45717</v>
      </c>
      <c r="B76">
        <v>20289195</v>
      </c>
      <c r="C76">
        <f t="shared" si="3"/>
        <v>10.796525929654678</v>
      </c>
      <c r="D76">
        <v>58789.18</v>
      </c>
      <c r="E76">
        <v>11.60134887838986</v>
      </c>
      <c r="F76">
        <v>1830.15</v>
      </c>
      <c r="G76">
        <v>6.25</v>
      </c>
      <c r="H76">
        <v>4.25</v>
      </c>
      <c r="I76">
        <v>1</v>
      </c>
      <c r="J76">
        <v>0</v>
      </c>
      <c r="K76">
        <f t="shared" si="2"/>
        <v>2.9595358978013429</v>
      </c>
      <c r="U76" s="4"/>
    </row>
    <row r="77" spans="1:21" x14ac:dyDescent="0.3">
      <c r="A77" s="4">
        <v>45748</v>
      </c>
      <c r="B77">
        <v>20261924</v>
      </c>
      <c r="C77">
        <f t="shared" si="3"/>
        <v>10.446921420879729</v>
      </c>
      <c r="D77">
        <v>59522.99</v>
      </c>
      <c r="E77">
        <v>11.547134636362788</v>
      </c>
      <c r="F77">
        <v>1789.34</v>
      </c>
      <c r="G77">
        <v>6.25</v>
      </c>
      <c r="H77">
        <v>4</v>
      </c>
      <c r="I77">
        <v>1</v>
      </c>
      <c r="J77">
        <v>0</v>
      </c>
      <c r="K77">
        <f t="shared" si="2"/>
        <v>2.7724493340974021</v>
      </c>
      <c r="U77" s="4"/>
    </row>
    <row r="78" spans="1:21" x14ac:dyDescent="0.3">
      <c r="A78" s="4">
        <v>45778</v>
      </c>
      <c r="B78">
        <v>20366878</v>
      </c>
      <c r="C78">
        <f t="shared" si="3"/>
        <v>9.0929844493760079</v>
      </c>
      <c r="D78">
        <v>59808.93</v>
      </c>
      <c r="E78">
        <v>11.524338044315542</v>
      </c>
      <c r="F78">
        <v>1867.75</v>
      </c>
      <c r="G78">
        <v>6</v>
      </c>
      <c r="H78">
        <v>4</v>
      </c>
      <c r="I78">
        <v>1</v>
      </c>
      <c r="J78">
        <v>0</v>
      </c>
      <c r="K78">
        <f t="shared" si="2"/>
        <v>2.1615098335810443</v>
      </c>
      <c r="U78" s="4"/>
    </row>
    <row r="79" spans="1:21" x14ac:dyDescent="0.3">
      <c r="A79" s="4">
        <v>45809</v>
      </c>
      <c r="B79">
        <v>20432432</v>
      </c>
      <c r="C79">
        <f t="shared" si="3"/>
        <v>6.9915219180317401</v>
      </c>
      <c r="D79">
        <v>60619.87</v>
      </c>
      <c r="E79">
        <v>11.093910842088883</v>
      </c>
      <c r="F79">
        <v>1839.5</v>
      </c>
      <c r="G79">
        <v>6</v>
      </c>
      <c r="H79">
        <v>4</v>
      </c>
      <c r="I79">
        <v>1</v>
      </c>
      <c r="J79">
        <v>0</v>
      </c>
      <c r="K79">
        <f t="shared" si="2"/>
        <v>1.5196964449552361</v>
      </c>
      <c r="U79" s="4"/>
    </row>
    <row r="80" spans="1:21" x14ac:dyDescent="0.3">
      <c r="A80" s="4">
        <v>45839</v>
      </c>
      <c r="B80">
        <v>20528808</v>
      </c>
      <c r="C80">
        <f t="shared" ref="C80:C86" si="4">(B80/B68-1)*100</f>
        <v>9.7401098533951735</v>
      </c>
      <c r="D80">
        <v>61502.95</v>
      </c>
      <c r="E80">
        <v>12.106727047066347</v>
      </c>
      <c r="F80">
        <v>1946.79</v>
      </c>
      <c r="G80">
        <v>5.5</v>
      </c>
      <c r="H80">
        <v>4</v>
      </c>
      <c r="I80">
        <v>1</v>
      </c>
      <c r="J80">
        <v>0</v>
      </c>
      <c r="K80">
        <f t="shared" si="2"/>
        <v>1.4674487826346883</v>
      </c>
      <c r="U80" s="4"/>
    </row>
    <row r="81" spans="1:21" x14ac:dyDescent="0.3">
      <c r="A81" s="4">
        <v>45870</v>
      </c>
      <c r="B81">
        <v>20584410</v>
      </c>
      <c r="C81">
        <f t="shared" si="4"/>
        <v>9.0508552857116342</v>
      </c>
      <c r="D81">
        <v>61610.4702597</v>
      </c>
      <c r="E81">
        <v>11.415065892258603</v>
      </c>
      <c r="F81">
        <v>2000.83</v>
      </c>
      <c r="G81">
        <v>5.5</v>
      </c>
      <c r="H81">
        <v>4</v>
      </c>
      <c r="I81">
        <v>1</v>
      </c>
      <c r="J81">
        <v>0</v>
      </c>
      <c r="K81">
        <f t="shared" si="2"/>
        <v>1.382081865636368</v>
      </c>
      <c r="U81" s="4"/>
    </row>
    <row r="82" spans="1:21" x14ac:dyDescent="0.3">
      <c r="A82" s="4">
        <v>45901</v>
      </c>
      <c r="B82">
        <v>20719277</v>
      </c>
      <c r="C82">
        <f t="shared" si="4"/>
        <v>8.6664747454653366</v>
      </c>
      <c r="D82">
        <v>62133.731938539997</v>
      </c>
      <c r="E82">
        <v>11.842158016367254</v>
      </c>
      <c r="F82">
        <v>1963.34</v>
      </c>
      <c r="G82">
        <v>5.5</v>
      </c>
      <c r="H82">
        <v>4</v>
      </c>
      <c r="I82">
        <v>1</v>
      </c>
      <c r="J82">
        <v>0</v>
      </c>
      <c r="K82">
        <f t="shared" si="2"/>
        <v>1.2952287857123783</v>
      </c>
      <c r="U82" s="4"/>
    </row>
    <row r="83" spans="1:21" x14ac:dyDescent="0.3">
      <c r="A83" s="4">
        <v>45931</v>
      </c>
      <c r="B83">
        <v>20989222</v>
      </c>
      <c r="C83">
        <f t="shared" si="4"/>
        <v>9.3826654411601762</v>
      </c>
      <c r="D83">
        <v>62542.74</v>
      </c>
      <c r="E83">
        <v>11.748937189807096</v>
      </c>
      <c r="F83">
        <v>2070.09</v>
      </c>
      <c r="G83">
        <v>5.5</v>
      </c>
      <c r="H83">
        <v>3.75</v>
      </c>
      <c r="I83">
        <v>1</v>
      </c>
      <c r="J83">
        <v>0</v>
      </c>
      <c r="K83">
        <f t="shared" si="2"/>
        <v>1.2664247775335249</v>
      </c>
      <c r="U83" s="4"/>
    </row>
    <row r="84" spans="1:21" x14ac:dyDescent="0.3">
      <c r="A84" s="4">
        <v>45962</v>
      </c>
      <c r="B84">
        <v>21478916</v>
      </c>
      <c r="C84">
        <f t="shared" si="4"/>
        <v>10.262417263078859</v>
      </c>
      <c r="D84">
        <v>64559.46</v>
      </c>
      <c r="E84">
        <v>14.315598685147135</v>
      </c>
      <c r="F84">
        <v>2046.7</v>
      </c>
      <c r="G84">
        <v>5.5</v>
      </c>
      <c r="H84">
        <v>3.5</v>
      </c>
      <c r="I84">
        <v>1</v>
      </c>
      <c r="J84">
        <v>0</v>
      </c>
      <c r="K84">
        <f t="shared" si="2"/>
        <v>1.1720378208973674</v>
      </c>
      <c r="U84" s="4"/>
    </row>
    <row r="85" spans="1:21" x14ac:dyDescent="0.3">
      <c r="A85" s="4">
        <v>45992</v>
      </c>
      <c r="B85">
        <v>21628539</v>
      </c>
      <c r="C85">
        <f t="shared" si="4"/>
        <v>9.846797805414397</v>
      </c>
      <c r="D85">
        <v>64864.18</v>
      </c>
      <c r="E85">
        <v>13.10515904845737</v>
      </c>
      <c r="F85">
        <v>2163.4699999999998</v>
      </c>
      <c r="G85">
        <v>5.5</v>
      </c>
      <c r="H85">
        <v>3.25</v>
      </c>
      <c r="I85">
        <v>1</v>
      </c>
      <c r="J85">
        <v>0</v>
      </c>
      <c r="K85">
        <f t="shared" si="2"/>
        <v>1.1389546796339807</v>
      </c>
      <c r="U85" s="4"/>
    </row>
    <row r="86" spans="1:21" x14ac:dyDescent="0.3">
      <c r="A86" s="4">
        <v>46023</v>
      </c>
      <c r="B86">
        <v>22382188</v>
      </c>
      <c r="C86">
        <f t="shared" si="4"/>
        <v>12.54831234765601</v>
      </c>
      <c r="D86">
        <v>66482.5</v>
      </c>
      <c r="E86">
        <v>14.726552779650115</v>
      </c>
      <c r="F86">
        <v>2170.34</v>
      </c>
      <c r="G86">
        <v>5.25</v>
      </c>
      <c r="H86">
        <v>3</v>
      </c>
      <c r="I86">
        <v>1</v>
      </c>
      <c r="J86">
        <v>0</v>
      </c>
      <c r="K86">
        <f t="shared" si="2"/>
        <v>1.3589081650745634</v>
      </c>
      <c r="U86" s="4"/>
    </row>
    <row r="114" spans="3:3" x14ac:dyDescent="0.3">
      <c r="C114" s="1"/>
    </row>
    <row r="115" spans="3:3" x14ac:dyDescent="0.3">
      <c r="C115" s="4"/>
    </row>
    <row r="116" spans="3:3" x14ac:dyDescent="0.3">
      <c r="C116" s="4"/>
    </row>
    <row r="117" spans="3:3" x14ac:dyDescent="0.3">
      <c r="C117" s="4"/>
    </row>
    <row r="118" spans="3:3" x14ac:dyDescent="0.3">
      <c r="C118" s="4"/>
    </row>
    <row r="119" spans="3:3" x14ac:dyDescent="0.3">
      <c r="C119" s="4"/>
    </row>
    <row r="120" spans="3:3" x14ac:dyDescent="0.3">
      <c r="C120" s="4"/>
    </row>
    <row r="121" spans="3:3" x14ac:dyDescent="0.3">
      <c r="C121" s="4"/>
    </row>
    <row r="122" spans="3:3" x14ac:dyDescent="0.3">
      <c r="C122" s="4"/>
    </row>
    <row r="123" spans="3:3" x14ac:dyDescent="0.3">
      <c r="C123" s="4"/>
    </row>
    <row r="124" spans="3:3" x14ac:dyDescent="0.3">
      <c r="C124" s="4"/>
    </row>
    <row r="125" spans="3:3" x14ac:dyDescent="0.3">
      <c r="C125" s="4"/>
    </row>
    <row r="126" spans="3:3" x14ac:dyDescent="0.3">
      <c r="C126" s="4"/>
    </row>
    <row r="127" spans="3:3" x14ac:dyDescent="0.3">
      <c r="C127" s="4"/>
    </row>
    <row r="128" spans="3:3" x14ac:dyDescent="0.3">
      <c r="C128" s="4"/>
    </row>
    <row r="129" spans="3:3" x14ac:dyDescent="0.3">
      <c r="C129" s="4"/>
    </row>
    <row r="130" spans="3:3" x14ac:dyDescent="0.3">
      <c r="C130" s="4"/>
    </row>
    <row r="131" spans="3:3" x14ac:dyDescent="0.3">
      <c r="C131" s="4"/>
    </row>
    <row r="132" spans="3:3" x14ac:dyDescent="0.3">
      <c r="C132" s="4"/>
    </row>
    <row r="133" spans="3:3" x14ac:dyDescent="0.3">
      <c r="C133" s="4"/>
    </row>
    <row r="134" spans="3:3" x14ac:dyDescent="0.3">
      <c r="C134" s="4"/>
    </row>
    <row r="135" spans="3:3" x14ac:dyDescent="0.3">
      <c r="C135" s="4"/>
    </row>
    <row r="136" spans="3:3" x14ac:dyDescent="0.3">
      <c r="C136" s="4"/>
    </row>
    <row r="137" spans="3:3" x14ac:dyDescent="0.3">
      <c r="C137" s="4"/>
    </row>
    <row r="138" spans="3:3" x14ac:dyDescent="0.3">
      <c r="C138" s="4"/>
    </row>
    <row r="139" spans="3:3" x14ac:dyDescent="0.3">
      <c r="C139" s="4"/>
    </row>
    <row r="140" spans="3:3" x14ac:dyDescent="0.3">
      <c r="C140" s="4"/>
    </row>
    <row r="141" spans="3:3" x14ac:dyDescent="0.3">
      <c r="C141" s="4"/>
    </row>
    <row r="142" spans="3:3" x14ac:dyDescent="0.3">
      <c r="C142" s="4"/>
    </row>
    <row r="143" spans="3:3" x14ac:dyDescent="0.3">
      <c r="C143" s="4"/>
    </row>
    <row r="144" spans="3:3" x14ac:dyDescent="0.3">
      <c r="C144" s="4"/>
    </row>
    <row r="145" spans="3:3" x14ac:dyDescent="0.3">
      <c r="C145" s="4"/>
    </row>
    <row r="146" spans="3:3" x14ac:dyDescent="0.3">
      <c r="C146" s="4"/>
    </row>
    <row r="147" spans="3:3" x14ac:dyDescent="0.3">
      <c r="C147" s="4"/>
    </row>
    <row r="148" spans="3:3" x14ac:dyDescent="0.3">
      <c r="C148" s="4"/>
    </row>
    <row r="149" spans="3:3" x14ac:dyDescent="0.3">
      <c r="C149" s="4"/>
    </row>
    <row r="150" spans="3:3" x14ac:dyDescent="0.3">
      <c r="C150" s="4"/>
    </row>
    <row r="151" spans="3:3" x14ac:dyDescent="0.3">
      <c r="C151" s="4"/>
    </row>
    <row r="152" spans="3:3" x14ac:dyDescent="0.3">
      <c r="C152" s="4"/>
    </row>
    <row r="153" spans="3:3" x14ac:dyDescent="0.3">
      <c r="C153" s="4"/>
    </row>
    <row r="154" spans="3:3" x14ac:dyDescent="0.3">
      <c r="C154" s="4"/>
    </row>
    <row r="155" spans="3:3" x14ac:dyDescent="0.3">
      <c r="C155" s="4"/>
    </row>
    <row r="156" spans="3:3" x14ac:dyDescent="0.3">
      <c r="C156" s="4"/>
    </row>
    <row r="157" spans="3:3" x14ac:dyDescent="0.3">
      <c r="C157" s="4"/>
    </row>
    <row r="158" spans="3:3" x14ac:dyDescent="0.3">
      <c r="C158" s="4"/>
    </row>
    <row r="159" spans="3:3" x14ac:dyDescent="0.3">
      <c r="C159" s="4"/>
    </row>
    <row r="160" spans="3:3" x14ac:dyDescent="0.3">
      <c r="C160" s="4"/>
    </row>
    <row r="161" spans="3:3" x14ac:dyDescent="0.3">
      <c r="C161" s="4"/>
    </row>
    <row r="162" spans="3:3" x14ac:dyDescent="0.3">
      <c r="C162" s="4"/>
    </row>
    <row r="163" spans="3:3" x14ac:dyDescent="0.3">
      <c r="C163" s="4"/>
    </row>
    <row r="164" spans="3:3" x14ac:dyDescent="0.3">
      <c r="C164" s="4"/>
    </row>
    <row r="165" spans="3:3" x14ac:dyDescent="0.3">
      <c r="C165" s="4"/>
    </row>
    <row r="166" spans="3:3" x14ac:dyDescent="0.3">
      <c r="C166" s="4"/>
    </row>
    <row r="167" spans="3:3" x14ac:dyDescent="0.3">
      <c r="C167" s="4"/>
    </row>
    <row r="168" spans="3:3" x14ac:dyDescent="0.3">
      <c r="C168" s="4"/>
    </row>
    <row r="169" spans="3:3" x14ac:dyDescent="0.3">
      <c r="C169" s="4"/>
    </row>
    <row r="170" spans="3:3" x14ac:dyDescent="0.3">
      <c r="C170" s="4"/>
    </row>
    <row r="171" spans="3:3" x14ac:dyDescent="0.3">
      <c r="C171" s="4"/>
    </row>
    <row r="172" spans="3:3" x14ac:dyDescent="0.3">
      <c r="C172" s="4"/>
    </row>
    <row r="173" spans="3:3" x14ac:dyDescent="0.3">
      <c r="C173" s="4"/>
    </row>
    <row r="174" spans="3:3" x14ac:dyDescent="0.3">
      <c r="C174" s="4"/>
    </row>
    <row r="175" spans="3:3" x14ac:dyDescent="0.3">
      <c r="C175" s="4"/>
    </row>
    <row r="176" spans="3:3" x14ac:dyDescent="0.3">
      <c r="C176" s="4"/>
    </row>
    <row r="177" spans="3:3" x14ac:dyDescent="0.3">
      <c r="C177" s="4"/>
    </row>
    <row r="178" spans="3:3" x14ac:dyDescent="0.3">
      <c r="C178" s="4"/>
    </row>
    <row r="179" spans="3:3" x14ac:dyDescent="0.3">
      <c r="C179" s="4"/>
    </row>
    <row r="180" spans="3:3" x14ac:dyDescent="0.3">
      <c r="C180" s="4"/>
    </row>
    <row r="181" spans="3:3" x14ac:dyDescent="0.3">
      <c r="C181" s="4"/>
    </row>
    <row r="182" spans="3:3" x14ac:dyDescent="0.3">
      <c r="C182" s="4"/>
    </row>
    <row r="183" spans="3:3" x14ac:dyDescent="0.3">
      <c r="C183" s="4"/>
    </row>
    <row r="184" spans="3:3" x14ac:dyDescent="0.3">
      <c r="C184" s="4"/>
    </row>
    <row r="185" spans="3:3" x14ac:dyDescent="0.3">
      <c r="C185" s="4"/>
    </row>
    <row r="186" spans="3:3" x14ac:dyDescent="0.3">
      <c r="C186" s="4"/>
    </row>
    <row r="187" spans="3:3" x14ac:dyDescent="0.3">
      <c r="C187" s="4"/>
    </row>
    <row r="188" spans="3:3" x14ac:dyDescent="0.3">
      <c r="C188" s="4"/>
    </row>
    <row r="189" spans="3:3" x14ac:dyDescent="0.3">
      <c r="C189" s="4"/>
    </row>
    <row r="190" spans="3:3" x14ac:dyDescent="0.3">
      <c r="C190" s="4"/>
    </row>
    <row r="191" spans="3:3" x14ac:dyDescent="0.3">
      <c r="C191" s="4"/>
    </row>
    <row r="192" spans="3:3" x14ac:dyDescent="0.3">
      <c r="C192" s="4"/>
    </row>
    <row r="193" spans="3:3" x14ac:dyDescent="0.3">
      <c r="C193" s="4"/>
    </row>
    <row r="194" spans="3:3" x14ac:dyDescent="0.3">
      <c r="C194" s="4"/>
    </row>
    <row r="195" spans="3:3" x14ac:dyDescent="0.3">
      <c r="C195" s="4"/>
    </row>
    <row r="196" spans="3:3" x14ac:dyDescent="0.3">
      <c r="C196" s="4"/>
    </row>
    <row r="197" spans="3:3" x14ac:dyDescent="0.3">
      <c r="C197" s="4"/>
    </row>
    <row r="198" spans="3:3" x14ac:dyDescent="0.3">
      <c r="C198" s="4"/>
    </row>
    <row r="199" spans="3:3" x14ac:dyDescent="0.3">
      <c r="C199" s="4"/>
    </row>
  </sheetData>
  <mergeCells count="1">
    <mergeCell ref="M7:O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A32D-2240-45AE-9899-6147D4EA1439}">
  <dimension ref="A1:W76"/>
  <sheetViews>
    <sheetView tabSelected="1" topLeftCell="I13" zoomScale="54" zoomScaleNormal="95" workbookViewId="0">
      <selection activeCell="D14" sqref="D14"/>
    </sheetView>
  </sheetViews>
  <sheetFormatPr defaultRowHeight="14.4" x14ac:dyDescent="0.3"/>
  <cols>
    <col min="1" max="1" width="21.109375" customWidth="1"/>
    <col min="2" max="2" width="16.6640625" customWidth="1"/>
    <col min="4" max="4" width="25" customWidth="1"/>
    <col min="5" max="5" width="12.5546875" customWidth="1"/>
    <col min="7" max="7" width="25.21875" customWidth="1"/>
    <col min="8" max="8" width="17.21875" customWidth="1"/>
    <col min="9" max="9" width="11.21875" customWidth="1"/>
    <col min="11" max="11" width="27.44140625" customWidth="1"/>
    <col min="12" max="12" width="19.77734375" customWidth="1"/>
    <col min="14" max="14" width="31.44140625" customWidth="1"/>
    <col min="15" max="15" width="19.77734375" customWidth="1"/>
    <col min="16" max="16" width="8.88671875" customWidth="1"/>
    <col min="17" max="17" width="23.21875" customWidth="1"/>
    <col min="18" max="18" width="17.6640625" customWidth="1"/>
    <col min="19" max="19" width="17" customWidth="1"/>
    <col min="21" max="21" width="19.77734375" customWidth="1"/>
    <col min="22" max="23" width="11" customWidth="1"/>
  </cols>
  <sheetData>
    <row r="1" spans="1:23" s="13" customFormat="1" ht="26.4" customHeight="1" x14ac:dyDescent="0.55000000000000004">
      <c r="A1" s="12"/>
      <c r="B1" s="12"/>
      <c r="C1" s="12"/>
      <c r="D1" s="22" t="s">
        <v>29</v>
      </c>
      <c r="E1" s="22"/>
      <c r="F1" s="22"/>
      <c r="G1" s="22"/>
      <c r="H1" s="22"/>
      <c r="I1" s="22"/>
      <c r="J1" s="22"/>
      <c r="K1" s="22"/>
      <c r="L1" s="22"/>
      <c r="M1" s="12"/>
      <c r="N1" s="12"/>
      <c r="O1" s="12"/>
      <c r="P1" s="12"/>
      <c r="Q1" s="12"/>
      <c r="R1" s="12"/>
      <c r="S1" s="12"/>
    </row>
    <row r="2" spans="1:23" s="11" customFormat="1" ht="24.6" customHeight="1" x14ac:dyDescent="0.45">
      <c r="A2" s="10"/>
      <c r="B2" s="10"/>
      <c r="C2" s="10"/>
      <c r="D2" s="10"/>
      <c r="E2" s="23" t="s">
        <v>30</v>
      </c>
      <c r="F2" s="23"/>
      <c r="G2" s="23"/>
      <c r="H2" s="23"/>
      <c r="I2" s="23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3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23" s="15" customFormat="1" ht="22.8" customHeight="1" x14ac:dyDescent="0.3">
      <c r="A4" s="19" t="s">
        <v>31</v>
      </c>
      <c r="B4" s="19"/>
      <c r="C4" s="14"/>
      <c r="D4" s="19" t="s">
        <v>34</v>
      </c>
      <c r="E4" s="19"/>
      <c r="F4" s="19"/>
      <c r="G4" s="19"/>
      <c r="H4" s="19"/>
      <c r="I4" s="19"/>
      <c r="J4" s="14"/>
      <c r="K4" s="19" t="s">
        <v>37</v>
      </c>
      <c r="L4" s="19"/>
      <c r="M4" s="14"/>
      <c r="N4" s="19" t="s">
        <v>40</v>
      </c>
      <c r="O4" s="19"/>
      <c r="P4" s="14"/>
      <c r="Q4" s="19" t="s">
        <v>47</v>
      </c>
      <c r="R4" s="19"/>
      <c r="S4" s="19"/>
      <c r="U4" s="14"/>
      <c r="V4" s="14" t="s">
        <v>53</v>
      </c>
      <c r="W4" s="14" t="s">
        <v>54</v>
      </c>
    </row>
    <row r="5" spans="1:23" s="16" customFormat="1" x14ac:dyDescent="0.3">
      <c r="A5" s="7" t="s">
        <v>15</v>
      </c>
      <c r="B5" s="7">
        <f>AVERAGE(Sheet1!C16:C86)</f>
        <v>13.188782201834869</v>
      </c>
      <c r="C5" s="7"/>
      <c r="D5" s="21" t="s">
        <v>22</v>
      </c>
      <c r="E5" s="21"/>
      <c r="F5" s="7"/>
      <c r="G5" s="21" t="s">
        <v>23</v>
      </c>
      <c r="H5" s="21"/>
      <c r="I5" s="7" t="s">
        <v>36</v>
      </c>
      <c r="J5" s="7"/>
      <c r="K5" s="7"/>
      <c r="L5" s="7"/>
      <c r="M5" s="7"/>
      <c r="N5" s="7" t="s">
        <v>41</v>
      </c>
      <c r="O5" s="7" t="s">
        <v>42</v>
      </c>
      <c r="P5" s="7"/>
      <c r="Q5" s="7"/>
      <c r="R5" s="7" t="s">
        <v>15</v>
      </c>
      <c r="S5" s="7" t="s">
        <v>50</v>
      </c>
      <c r="U5" s="14" t="s">
        <v>51</v>
      </c>
      <c r="V5" s="7">
        <v>12.629327862408166</v>
      </c>
      <c r="W5" s="7">
        <v>4.2458370437400212</v>
      </c>
    </row>
    <row r="6" spans="1:23" s="16" customFormat="1" x14ac:dyDescent="0.3">
      <c r="A6" s="7" t="s">
        <v>16</v>
      </c>
      <c r="B6" s="7">
        <f>_xlfn.STDEV.S(Sheet1!C16:C86)</f>
        <v>4.2235666260462406</v>
      </c>
      <c r="C6" s="7"/>
      <c r="D6" s="7" t="s">
        <v>25</v>
      </c>
      <c r="E6" s="7">
        <f>AVERAGE(Sheet1!C16:C53)</f>
        <v>12.629327862408166</v>
      </c>
      <c r="F6" s="7"/>
      <c r="G6" s="7" t="s">
        <v>25</v>
      </c>
      <c r="H6" s="7">
        <f>AVERAGE(Sheet1!C54:C86)</f>
        <v>13.833002350265616</v>
      </c>
      <c r="I6" s="7">
        <f>H6-E6</f>
        <v>1.2036744878574499</v>
      </c>
      <c r="J6" s="7"/>
      <c r="K6" s="7" t="s">
        <v>26</v>
      </c>
      <c r="L6" s="7">
        <f>Sheet1!C15</f>
        <v>0</v>
      </c>
      <c r="M6" s="7"/>
      <c r="N6" s="7" t="s">
        <v>46</v>
      </c>
      <c r="O6" s="7">
        <f>CORREL(Sheet1!E16:E86,Sheet1!F16:F86)</f>
        <v>0.14900496660886778</v>
      </c>
      <c r="P6" s="7"/>
      <c r="Q6" s="7" t="s">
        <v>48</v>
      </c>
      <c r="R6" s="7">
        <f>AVERAGE(Sheet1!C2:C25)</f>
        <v>8.287209980830065</v>
      </c>
      <c r="S6" s="7">
        <f>_xlfn.STDEV.S(Sheet1!C2:C25)</f>
        <v>0.63753503197236006</v>
      </c>
      <c r="U6" s="7" t="s">
        <v>52</v>
      </c>
      <c r="V6" s="7">
        <v>13.833002350265616</v>
      </c>
      <c r="W6" s="7">
        <v>4.1687188037184004</v>
      </c>
    </row>
    <row r="7" spans="1:23" s="16" customFormat="1" x14ac:dyDescent="0.3">
      <c r="A7" s="7" t="s">
        <v>17</v>
      </c>
      <c r="B7" s="7">
        <f>MAX(Sheet1!C16:C86)</f>
        <v>19.584468306928194</v>
      </c>
      <c r="C7" s="7"/>
      <c r="D7" s="7" t="s">
        <v>24</v>
      </c>
      <c r="E7" s="7">
        <f>_xlfn.STDEV.S(Sheet1!C16:C53)</f>
        <v>4.2458370437400212</v>
      </c>
      <c r="F7" s="7"/>
      <c r="G7" s="7" t="s">
        <v>24</v>
      </c>
      <c r="H7" s="7">
        <f>_xlfn.STDEV.S(Sheet1!C54:C86)</f>
        <v>4.1687188037184004</v>
      </c>
      <c r="I7" s="7">
        <f t="shared" ref="I7:I8" si="0">H7-E7</f>
        <v>-7.7118240021620821E-2</v>
      </c>
      <c r="J7" s="7"/>
      <c r="K7" s="7" t="s">
        <v>28</v>
      </c>
      <c r="L7" s="7">
        <f>MIN(Sheet1!C16:C21)</f>
        <v>7.7319825332113679</v>
      </c>
      <c r="M7" s="7"/>
      <c r="N7" s="7" t="s">
        <v>43</v>
      </c>
      <c r="O7" s="7">
        <f>CORREL(Sheet1!C16:C86,Sheet1!F16:F86)</f>
        <v>8.2507559592181534E-2</v>
      </c>
      <c r="P7" s="7"/>
      <c r="Q7" s="7" t="s">
        <v>49</v>
      </c>
      <c r="R7" s="7">
        <f>AVERAGE(Sheet1!C26:C86)</f>
        <v>13.992318631507787</v>
      </c>
      <c r="S7" s="7">
        <f>_xlfn.STDEV.S(Sheet1!C26:C86)</f>
        <v>4.011230015163525</v>
      </c>
    </row>
    <row r="8" spans="1:23" s="16" customFormat="1" x14ac:dyDescent="0.3">
      <c r="A8" s="7" t="s">
        <v>18</v>
      </c>
      <c r="B8" s="7">
        <f>MIN(Sheet1!C16:C86)</f>
        <v>6.9915219180317401</v>
      </c>
      <c r="C8" s="7"/>
      <c r="D8" s="7" t="s">
        <v>35</v>
      </c>
      <c r="E8" s="7">
        <f>AVERAGE(Sheet1!F13:F53)</f>
        <v>404.95682926829267</v>
      </c>
      <c r="F8" s="7"/>
      <c r="G8" s="7" t="s">
        <v>35</v>
      </c>
      <c r="H8" s="7">
        <f>AVERAGE(Sheet1!F54:F86)</f>
        <v>1535.4954545454543</v>
      </c>
      <c r="I8" s="7">
        <f t="shared" si="0"/>
        <v>1130.5386252771616</v>
      </c>
      <c r="J8" s="7"/>
      <c r="K8" s="7" t="s">
        <v>27</v>
      </c>
      <c r="L8" s="17">
        <f>(Sheet1!C17 - Sheet1!C15)</f>
        <v>8.6826263255913148</v>
      </c>
      <c r="M8" s="7"/>
      <c r="N8" s="7" t="s">
        <v>44</v>
      </c>
      <c r="O8" s="7">
        <f>CORREL(Sheet1!C16:C86,Sheet1!G16:G86)</f>
        <v>0.59386468819071037</v>
      </c>
      <c r="P8" s="7"/>
      <c r="Q8" s="7"/>
      <c r="R8" s="7"/>
      <c r="S8" s="7"/>
    </row>
    <row r="9" spans="1:23" s="16" customFormat="1" x14ac:dyDescent="0.3">
      <c r="A9" s="7" t="s">
        <v>19</v>
      </c>
      <c r="B9" s="7">
        <f>AVERAGE(Sheet1!K27:K86)</f>
        <v>1.5592940297798237</v>
      </c>
      <c r="C9" s="7"/>
      <c r="D9" s="7"/>
      <c r="E9" s="7"/>
      <c r="F9" s="7"/>
      <c r="G9" s="7"/>
      <c r="H9" s="7"/>
      <c r="I9" s="7"/>
      <c r="J9" s="7"/>
      <c r="K9" s="7" t="s">
        <v>38</v>
      </c>
      <c r="L9" s="7">
        <f>Sheet1!C23</f>
        <v>7.7133167605677011</v>
      </c>
      <c r="M9" s="7"/>
      <c r="N9" s="7"/>
      <c r="O9" s="7"/>
      <c r="P9" s="7"/>
      <c r="Q9" s="7"/>
      <c r="R9" s="7"/>
      <c r="S9" s="7"/>
    </row>
    <row r="10" spans="1:23" s="16" customFormat="1" ht="43.2" x14ac:dyDescent="0.3">
      <c r="A10" s="7" t="s">
        <v>20</v>
      </c>
      <c r="B10" s="7">
        <f>AVERAGE(Sheet1!F13:F86)</f>
        <v>909.11594594594601</v>
      </c>
      <c r="C10" s="7"/>
      <c r="D10" s="7"/>
      <c r="E10" s="7"/>
      <c r="F10" s="7"/>
      <c r="G10" s="7"/>
      <c r="H10" s="7"/>
      <c r="I10" s="7"/>
      <c r="J10" s="7"/>
      <c r="K10" s="7" t="s">
        <v>39</v>
      </c>
      <c r="L10" s="17" t="s">
        <v>45</v>
      </c>
      <c r="M10" s="17"/>
      <c r="N10" s="7"/>
      <c r="O10" s="7"/>
      <c r="P10" s="7"/>
      <c r="Q10" s="7"/>
      <c r="R10" s="7"/>
      <c r="S10" s="7"/>
    </row>
    <row r="11" spans="1:23" s="16" customFormat="1" x14ac:dyDescent="0.3">
      <c r="A11" s="7" t="s">
        <v>21</v>
      </c>
      <c r="B11" s="7">
        <f>AVERAGE(Sheet1!G2:G86)</f>
        <v>5.4005882352941184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23" s="16" customFormat="1" x14ac:dyDescent="0.3">
      <c r="A12" s="7" t="s">
        <v>32</v>
      </c>
      <c r="B12" s="7">
        <f>AVERAGE(Sheet1!H2:H86)</f>
        <v>3.947058823529412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4" spans="1:23" ht="31.8" customHeight="1" x14ac:dyDescent="0.3">
      <c r="A14" s="20" t="s">
        <v>33</v>
      </c>
      <c r="B14" s="20"/>
    </row>
    <row r="15" spans="1:23" x14ac:dyDescent="0.3">
      <c r="A15" s="8"/>
      <c r="B15" s="8"/>
    </row>
    <row r="72" spans="9:23" x14ac:dyDescent="0.3">
      <c r="L72" s="24"/>
      <c r="M72" s="24"/>
      <c r="N72" s="24"/>
      <c r="O72" s="24"/>
      <c r="P72" s="24"/>
      <c r="Q72" s="24"/>
      <c r="R72" s="24"/>
      <c r="S72" s="24"/>
      <c r="T72" s="24"/>
    </row>
    <row r="73" spans="9:23" x14ac:dyDescent="0.3">
      <c r="M73" s="24"/>
      <c r="N73" s="24"/>
      <c r="O73" s="24"/>
      <c r="P73" s="24"/>
      <c r="Q73" s="24"/>
    </row>
    <row r="75" spans="9:23" x14ac:dyDescent="0.3">
      <c r="I75" s="24"/>
      <c r="J75" s="24"/>
      <c r="L75" s="24"/>
      <c r="M75" s="24"/>
      <c r="N75" s="24"/>
      <c r="O75" s="24"/>
      <c r="P75" s="24"/>
      <c r="Q75" s="24"/>
      <c r="S75" s="24"/>
      <c r="T75" s="24"/>
      <c r="V75" s="24"/>
      <c r="W75" s="24"/>
    </row>
    <row r="76" spans="9:23" x14ac:dyDescent="0.3">
      <c r="L76" s="24"/>
      <c r="M76" s="24"/>
      <c r="O76" s="24"/>
      <c r="P76" s="24"/>
    </row>
  </sheetData>
  <mergeCells count="18">
    <mergeCell ref="I75:J75"/>
    <mergeCell ref="L75:Q75"/>
    <mergeCell ref="S75:T75"/>
    <mergeCell ref="V75:W75"/>
    <mergeCell ref="L76:M76"/>
    <mergeCell ref="O76:P76"/>
    <mergeCell ref="Q4:S4"/>
    <mergeCell ref="L72:T72"/>
    <mergeCell ref="M73:Q73"/>
    <mergeCell ref="K4:L4"/>
    <mergeCell ref="N4:O4"/>
    <mergeCell ref="A4:B4"/>
    <mergeCell ref="A14:B14"/>
    <mergeCell ref="G5:H5"/>
    <mergeCell ref="D5:E5"/>
    <mergeCell ref="D1:L1"/>
    <mergeCell ref="E2:I2"/>
    <mergeCell ref="D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AVERAGE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Bhumikha</dc:creator>
  <cp:lastModifiedBy>Shree Bhumikha</cp:lastModifiedBy>
  <dcterms:created xsi:type="dcterms:W3CDTF">2026-04-20T07:36:23Z</dcterms:created>
  <dcterms:modified xsi:type="dcterms:W3CDTF">2026-04-21T12:50:55Z</dcterms:modified>
</cp:coreProperties>
</file>